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0164\"/>
    </mc:Choice>
  </mc:AlternateContent>
  <xr:revisionPtr revIDLastSave="0" documentId="13_ncr:1_{02805BF9-C8A8-4542-8579-74494461A139}" xr6:coauthVersionLast="47" xr6:coauthVersionMax="47" xr10:uidLastSave="{00000000-0000-0000-0000-000000000000}"/>
  <bookViews>
    <workbookView xWindow="-120" yWindow="-120" windowWidth="29040" windowHeight="17640" xr2:uid="{0D7B3432-4E03-4EA4-BD9E-FF20B9F42EA8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2" i="1"/>
  <c r="E73" i="1" l="1"/>
  <c r="F73" i="1"/>
  <c r="G73" i="1"/>
  <c r="E74" i="1"/>
  <c r="F74" i="1"/>
  <c r="G74" i="1"/>
  <c r="E75" i="1"/>
  <c r="F75" i="1"/>
  <c r="G75" i="1"/>
  <c r="E61" i="1"/>
  <c r="F61" i="1"/>
  <c r="G61" i="1"/>
  <c r="E62" i="1"/>
  <c r="F62" i="1"/>
  <c r="G62" i="1"/>
  <c r="E63" i="1"/>
  <c r="F63" i="1"/>
  <c r="G63" i="1"/>
  <c r="E64" i="1"/>
  <c r="F64" i="1"/>
  <c r="G64" i="1"/>
  <c r="E69" i="1"/>
  <c r="F69" i="1"/>
  <c r="G69" i="1"/>
  <c r="E70" i="1"/>
  <c r="F70" i="1"/>
  <c r="G70" i="1"/>
  <c r="E71" i="1"/>
  <c r="F71" i="1"/>
  <c r="G71" i="1"/>
  <c r="E72" i="1"/>
  <c r="F72" i="1"/>
  <c r="G72" i="1"/>
  <c r="E58" i="1"/>
  <c r="F58" i="1"/>
  <c r="G58" i="1"/>
  <c r="E59" i="1"/>
  <c r="F59" i="1"/>
  <c r="G59" i="1"/>
  <c r="E60" i="1"/>
  <c r="F60" i="1"/>
  <c r="G60" i="1"/>
  <c r="E55" i="1"/>
  <c r="F55" i="1"/>
  <c r="G55" i="1"/>
  <c r="E56" i="1"/>
  <c r="F56" i="1"/>
  <c r="G56" i="1"/>
  <c r="E57" i="1"/>
  <c r="F57" i="1"/>
  <c r="G57" i="1"/>
  <c r="E67" i="1"/>
  <c r="F67" i="1"/>
  <c r="G67" i="1"/>
  <c r="E68" i="1"/>
  <c r="F68" i="1"/>
  <c r="G68" i="1"/>
  <c r="E65" i="1"/>
  <c r="F65" i="1"/>
  <c r="G65" i="1"/>
  <c r="E66" i="1"/>
  <c r="F66" i="1"/>
  <c r="G66" i="1"/>
  <c r="F51" i="1"/>
  <c r="G51" i="1"/>
  <c r="F52" i="1"/>
  <c r="G52" i="1"/>
  <c r="F53" i="1"/>
  <c r="G53" i="1"/>
  <c r="F54" i="1"/>
  <c r="G54" i="1"/>
  <c r="E51" i="1"/>
  <c r="E52" i="1"/>
  <c r="E53" i="1"/>
  <c r="E54" i="1"/>
  <c r="G17" i="1"/>
  <c r="G2" i="1"/>
  <c r="G3" i="1"/>
  <c r="G4" i="1"/>
  <c r="G5" i="1"/>
  <c r="G6" i="1"/>
  <c r="G7" i="1"/>
  <c r="G8" i="1"/>
  <c r="G18" i="1"/>
  <c r="G19" i="1"/>
  <c r="G9" i="1"/>
  <c r="G10" i="1"/>
  <c r="G11" i="1"/>
  <c r="G20" i="1"/>
  <c r="G21" i="1"/>
  <c r="G22" i="1"/>
  <c r="G12" i="1"/>
  <c r="G13" i="1"/>
  <c r="G14" i="1"/>
  <c r="G15" i="1"/>
  <c r="G23" i="1"/>
  <c r="G24" i="1"/>
  <c r="G25" i="1"/>
  <c r="G26" i="1"/>
  <c r="G27" i="1"/>
  <c r="G28" i="1"/>
  <c r="G29" i="1"/>
  <c r="G38" i="1"/>
  <c r="G39" i="1"/>
  <c r="G40" i="1"/>
  <c r="G41" i="1"/>
  <c r="G30" i="1"/>
  <c r="G31" i="1"/>
  <c r="G42" i="1"/>
  <c r="G43" i="1"/>
  <c r="G32" i="1"/>
  <c r="G33" i="1"/>
  <c r="G34" i="1"/>
  <c r="G35" i="1"/>
  <c r="G44" i="1"/>
  <c r="G45" i="1"/>
  <c r="G46" i="1"/>
  <c r="G47" i="1"/>
  <c r="G48" i="1"/>
  <c r="G36" i="1"/>
  <c r="G37" i="1"/>
  <c r="G49" i="1"/>
  <c r="G50" i="1"/>
  <c r="G16" i="1"/>
  <c r="F17" i="1"/>
  <c r="F2" i="1"/>
  <c r="F3" i="1"/>
  <c r="F4" i="1"/>
  <c r="F5" i="1"/>
  <c r="F6" i="1"/>
  <c r="F7" i="1"/>
  <c r="F8" i="1"/>
  <c r="F18" i="1"/>
  <c r="F19" i="1"/>
  <c r="F9" i="1"/>
  <c r="F10" i="1"/>
  <c r="F11" i="1"/>
  <c r="F20" i="1"/>
  <c r="F21" i="1"/>
  <c r="F22" i="1"/>
  <c r="F12" i="1"/>
  <c r="F13" i="1"/>
  <c r="F14" i="1"/>
  <c r="F15" i="1"/>
  <c r="F23" i="1"/>
  <c r="F24" i="1"/>
  <c r="F25" i="1"/>
  <c r="F26" i="1"/>
  <c r="F27" i="1"/>
  <c r="F28" i="1"/>
  <c r="F29" i="1"/>
  <c r="F38" i="1"/>
  <c r="F39" i="1"/>
  <c r="F40" i="1"/>
  <c r="F41" i="1"/>
  <c r="F30" i="1"/>
  <c r="F31" i="1"/>
  <c r="F42" i="1"/>
  <c r="F43" i="1"/>
  <c r="F32" i="1"/>
  <c r="F33" i="1"/>
  <c r="F34" i="1"/>
  <c r="F35" i="1"/>
  <c r="F44" i="1"/>
  <c r="F45" i="1"/>
  <c r="F46" i="1"/>
  <c r="F47" i="1"/>
  <c r="F48" i="1"/>
  <c r="F36" i="1"/>
  <c r="F37" i="1"/>
  <c r="F49" i="1"/>
  <c r="F50" i="1"/>
  <c r="F16" i="1"/>
  <c r="E16" i="1"/>
  <c r="E17" i="1"/>
  <c r="E2" i="1"/>
  <c r="E3" i="1"/>
  <c r="E4" i="1"/>
  <c r="E5" i="1"/>
  <c r="E6" i="1"/>
  <c r="E7" i="1"/>
  <c r="E8" i="1"/>
  <c r="E18" i="1"/>
  <c r="E19" i="1"/>
  <c r="E9" i="1"/>
  <c r="E10" i="1"/>
  <c r="E11" i="1"/>
  <c r="E20" i="1"/>
  <c r="E21" i="1"/>
  <c r="E22" i="1"/>
  <c r="E12" i="1"/>
  <c r="E13" i="1"/>
  <c r="E14" i="1"/>
  <c r="E15" i="1"/>
  <c r="E23" i="1"/>
  <c r="E24" i="1"/>
  <c r="E25" i="1"/>
  <c r="E26" i="1"/>
  <c r="E27" i="1"/>
  <c r="E28" i="1"/>
  <c r="E29" i="1"/>
  <c r="E38" i="1"/>
  <c r="E39" i="1"/>
  <c r="E40" i="1"/>
  <c r="E41" i="1"/>
  <c r="E30" i="1"/>
  <c r="E31" i="1"/>
  <c r="E42" i="1"/>
  <c r="E43" i="1"/>
  <c r="E32" i="1"/>
  <c r="E33" i="1"/>
  <c r="E34" i="1"/>
  <c r="E35" i="1"/>
  <c r="E44" i="1"/>
  <c r="E45" i="1"/>
  <c r="E46" i="1"/>
  <c r="E47" i="1"/>
  <c r="E48" i="1"/>
  <c r="E36" i="1"/>
  <c r="E37" i="1"/>
  <c r="E49" i="1"/>
  <c r="E50" i="1"/>
</calcChain>
</file>

<file path=xl/sharedStrings.xml><?xml version="1.0" encoding="utf-8"?>
<sst xmlns="http://schemas.openxmlformats.org/spreadsheetml/2006/main" count="383" uniqueCount="77">
  <si>
    <t>S11434-002A0X</t>
  </si>
  <si>
    <t>Date</t>
  </si>
  <si>
    <t>Machine</t>
  </si>
  <si>
    <t>Part</t>
  </si>
  <si>
    <t>Std. Cycle Time per Cavity (in sec)</t>
  </si>
  <si>
    <t>Actual Cycle Std Cycle Time per running Cavity</t>
  </si>
  <si>
    <t>Part Per Hour</t>
  </si>
  <si>
    <t>No of Knaban Cards</t>
  </si>
  <si>
    <t>Actual Production</t>
  </si>
  <si>
    <t>Setup Rejections</t>
  </si>
  <si>
    <t>Actual Rejections</t>
  </si>
  <si>
    <t>MP-01</t>
  </si>
  <si>
    <t>14SW030081-00001X0</t>
  </si>
  <si>
    <t>112/2</t>
  </si>
  <si>
    <t>Planned Quantity</t>
  </si>
  <si>
    <t>Shift</t>
  </si>
  <si>
    <t>A</t>
  </si>
  <si>
    <t>B</t>
  </si>
  <si>
    <t>14SW220201-00005X0</t>
  </si>
  <si>
    <t>72/2</t>
  </si>
  <si>
    <t>MP-05</t>
  </si>
  <si>
    <t>S21021-012A0X</t>
  </si>
  <si>
    <t>S41354-011A0X</t>
  </si>
  <si>
    <t>90/2</t>
  </si>
  <si>
    <t>40/01</t>
  </si>
  <si>
    <t>45/1</t>
  </si>
  <si>
    <t>14SW220197-00005X0</t>
  </si>
  <si>
    <t>S12095-004A0X</t>
  </si>
  <si>
    <t>50/2</t>
  </si>
  <si>
    <t>MP-10</t>
  </si>
  <si>
    <t>S22166-016A0X</t>
  </si>
  <si>
    <t>65/1</t>
  </si>
  <si>
    <t>80/2</t>
  </si>
  <si>
    <t>80/1</t>
  </si>
  <si>
    <t>S13088-007A0X</t>
  </si>
  <si>
    <t>120/1</t>
  </si>
  <si>
    <t>MP-17</t>
  </si>
  <si>
    <t>S11398-018A0X</t>
  </si>
  <si>
    <t>S21021-016A0X</t>
  </si>
  <si>
    <t>90/3</t>
  </si>
  <si>
    <t>50/1</t>
  </si>
  <si>
    <t>40/1</t>
  </si>
  <si>
    <t>52/2</t>
  </si>
  <si>
    <t>60/1</t>
  </si>
  <si>
    <t>36/2</t>
  </si>
  <si>
    <t>14SW030082-00001X0</t>
  </si>
  <si>
    <t>S13120-001A0X</t>
  </si>
  <si>
    <t>120/4</t>
  </si>
  <si>
    <t>156/2</t>
  </si>
  <si>
    <t>120/2</t>
  </si>
  <si>
    <t>S13116-011A0X</t>
  </si>
  <si>
    <t>S13083-003A0X</t>
  </si>
  <si>
    <t>S12087-004A0X</t>
  </si>
  <si>
    <t>128/2</t>
  </si>
  <si>
    <t>38/1</t>
  </si>
  <si>
    <t>38/2</t>
  </si>
  <si>
    <t>50/01</t>
  </si>
  <si>
    <t>S21028-002A0X</t>
  </si>
  <si>
    <t>36/1</t>
  </si>
  <si>
    <t>Qty/ tray</t>
  </si>
  <si>
    <t>Qty/ bin</t>
  </si>
  <si>
    <t>No. of trays/bin</t>
  </si>
  <si>
    <t>48/2</t>
  </si>
  <si>
    <t>60/2</t>
  </si>
  <si>
    <t>???</t>
  </si>
  <si>
    <t>??</t>
  </si>
  <si>
    <t>14SW030082-0001E0</t>
  </si>
  <si>
    <t>?</t>
  </si>
  <si>
    <t>14SW110487-00009X0</t>
  </si>
  <si>
    <t>110/2</t>
  </si>
  <si>
    <t>S11432-007A0X</t>
  </si>
  <si>
    <t>S21042-001A0X</t>
  </si>
  <si>
    <t>S21047-001A0X</t>
  </si>
  <si>
    <t>S21175-002A0X</t>
  </si>
  <si>
    <t>S21114-005A0X</t>
  </si>
  <si>
    <t>S11398-030A0X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</si>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</sst>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ckaging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ushar\Tool%20list%20of%20Mould%20fixation-V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T"/>
      <sheetName val="HZ"/>
      <sheetName val="2K"/>
      <sheetName val="nov indent"/>
    </sheetNames>
    <sheetDataSet>
      <sheetData sheetId="0">
        <row r="1">
          <cell r="C1"/>
          <cell r="D1"/>
          <cell r="E1"/>
          <cell r="F1"/>
          <cell r="G1"/>
          <cell r="H1"/>
          <cell r="I1"/>
        </row>
        <row r="2">
          <cell r="C2" t="str">
            <v>PART NO</v>
          </cell>
          <cell r="D2" t="str">
            <v>PART NAME</v>
          </cell>
          <cell r="E2" t="str">
            <v>Cycle time 
( in sec. )</v>
          </cell>
          <cell r="F2" t="str">
            <v>Tray</v>
          </cell>
          <cell r="G2" t="str">
            <v>Qty/ tray</v>
          </cell>
          <cell r="H2" t="str">
            <v>Qty/ bin</v>
          </cell>
          <cell r="I2" t="str">
            <v>No. of trays/bin</v>
          </cell>
        </row>
        <row r="3">
          <cell r="C3" t="str">
            <v>S11240-005A0X</v>
          </cell>
          <cell r="D3" t="str">
            <v>BASE INT W</v>
          </cell>
          <cell r="E3">
            <v>80</v>
          </cell>
          <cell r="F3" t="str">
            <v>T-008</v>
          </cell>
          <cell r="G3">
            <v>16</v>
          </cell>
          <cell r="H3">
            <v>64</v>
          </cell>
          <cell r="I3">
            <v>4</v>
          </cell>
        </row>
        <row r="4">
          <cell r="C4" t="str">
            <v>S13116-011A0X</v>
          </cell>
          <cell r="D4" t="str">
            <v>INSULATOR CP, WIPER, RH</v>
          </cell>
          <cell r="E4">
            <v>64</v>
          </cell>
          <cell r="F4" t="str">
            <v>T-008</v>
          </cell>
          <cell r="G4">
            <v>8</v>
          </cell>
          <cell r="H4">
            <v>32</v>
          </cell>
          <cell r="I4">
            <v>4</v>
          </cell>
        </row>
        <row r="5">
          <cell r="C5" t="str">
            <v>S13120-001A0X</v>
          </cell>
          <cell r="D5" t="str">
            <v>INSULATOR CP, WIPER, RH</v>
          </cell>
          <cell r="E5">
            <v>60</v>
          </cell>
          <cell r="F5" t="str">
            <v>T-008</v>
          </cell>
          <cell r="G5">
            <v>8</v>
          </cell>
          <cell r="H5">
            <v>40</v>
          </cell>
          <cell r="I5">
            <v>5</v>
          </cell>
        </row>
        <row r="6">
          <cell r="C6" t="str">
            <v>S13081-004A0X</v>
          </cell>
          <cell r="D6" t="str">
            <v>INSULATOR CP. WIPER LH</v>
          </cell>
          <cell r="E6">
            <v>55</v>
          </cell>
          <cell r="F6" t="str">
            <v>Seprator</v>
          </cell>
          <cell r="G6">
            <v>15</v>
          </cell>
          <cell r="H6">
            <v>90</v>
          </cell>
          <cell r="I6">
            <v>6</v>
          </cell>
        </row>
        <row r="7">
          <cell r="C7" t="str">
            <v>S12087-004A0X</v>
          </cell>
          <cell r="D7" t="str">
            <v>INSULATOR CP</v>
          </cell>
          <cell r="E7">
            <v>38</v>
          </cell>
          <cell r="F7" t="str">
            <v>H-030</v>
          </cell>
          <cell r="G7">
            <v>10</v>
          </cell>
          <cell r="H7">
            <v>100</v>
          </cell>
          <cell r="I7">
            <v>10</v>
          </cell>
        </row>
        <row r="8">
          <cell r="C8" t="str">
            <v>S11398-018A0X</v>
          </cell>
          <cell r="D8" t="str">
            <v>INSULATOR CP LIGHT RH</v>
          </cell>
          <cell r="E8">
            <v>45</v>
          </cell>
          <cell r="F8" t="str">
            <v>T-008</v>
          </cell>
          <cell r="G8">
            <v>32</v>
          </cell>
          <cell r="H8">
            <v>192</v>
          </cell>
          <cell r="I8">
            <v>6</v>
          </cell>
        </row>
        <row r="9">
          <cell r="C9" t="str">
            <v>S11398-030A0X</v>
          </cell>
          <cell r="D9" t="str">
            <v>INSULATOR CP WIPER RH</v>
          </cell>
          <cell r="E9">
            <v>60</v>
          </cell>
          <cell r="F9" t="str">
            <v>T-008</v>
          </cell>
          <cell r="G9">
            <v>32</v>
          </cell>
          <cell r="H9">
            <v>192</v>
          </cell>
          <cell r="I9">
            <v>6</v>
          </cell>
        </row>
        <row r="10">
          <cell r="C10" t="str">
            <v>S21110-002A0X</v>
          </cell>
          <cell r="D10" t="str">
            <v>INSULATOR CP</v>
          </cell>
          <cell r="E10">
            <v>70</v>
          </cell>
          <cell r="F10" t="str">
            <v>U4-I04</v>
          </cell>
          <cell r="G10">
            <v>15</v>
          </cell>
          <cell r="H10">
            <v>60</v>
          </cell>
          <cell r="I10">
            <v>4</v>
          </cell>
        </row>
        <row r="11">
          <cell r="C11" t="str">
            <v>S13088-007A0X</v>
          </cell>
          <cell r="D11" t="str">
            <v>INSULATOR CP,WIPER</v>
          </cell>
          <cell r="E11">
            <v>120</v>
          </cell>
          <cell r="F11" t="str">
            <v>T-008</v>
          </cell>
          <cell r="G11">
            <v>8</v>
          </cell>
          <cell r="H11">
            <v>32</v>
          </cell>
          <cell r="I11">
            <v>4</v>
          </cell>
        </row>
        <row r="12">
          <cell r="C12" t="str">
            <v>S21114-005A0X</v>
          </cell>
          <cell r="D12" t="str">
            <v>INSULATOR CP.</v>
          </cell>
          <cell r="E12">
            <v>24</v>
          </cell>
          <cell r="F12" t="str">
            <v>T-008</v>
          </cell>
          <cell r="G12">
            <v>78</v>
          </cell>
          <cell r="H12">
            <v>234</v>
          </cell>
          <cell r="I12">
            <v>3</v>
          </cell>
        </row>
        <row r="13">
          <cell r="C13" t="str">
            <v>S21021-012A0X</v>
          </cell>
          <cell r="D13" t="str">
            <v>Insulator Cp</v>
          </cell>
          <cell r="E13">
            <v>40</v>
          </cell>
          <cell r="F13" t="str">
            <v>U4-I03</v>
          </cell>
          <cell r="G13">
            <v>15</v>
          </cell>
          <cell r="H13">
            <v>90</v>
          </cell>
          <cell r="I13">
            <v>6</v>
          </cell>
        </row>
        <row r="14">
          <cell r="C14" t="str">
            <v>S21021-016A0X</v>
          </cell>
          <cell r="D14" t="str">
            <v>Connector cp</v>
          </cell>
          <cell r="E14">
            <v>25</v>
          </cell>
          <cell r="F14" t="str">
            <v>T-008</v>
          </cell>
          <cell r="G14">
            <v>32</v>
          </cell>
          <cell r="H14">
            <v>192</v>
          </cell>
          <cell r="I14">
            <v>6</v>
          </cell>
        </row>
        <row r="15">
          <cell r="C15" t="str">
            <v>S21042-016A0X</v>
          </cell>
          <cell r="D15" t="str">
            <v>Connector cp</v>
          </cell>
          <cell r="E15"/>
          <cell r="F15" t="str">
            <v>T-008</v>
          </cell>
          <cell r="G15">
            <v>32</v>
          </cell>
          <cell r="H15">
            <v>192</v>
          </cell>
          <cell r="I15">
            <v>6</v>
          </cell>
        </row>
        <row r="16">
          <cell r="C16" t="str">
            <v>S22063-003A0X</v>
          </cell>
          <cell r="D16" t="str">
            <v>Insulator CP</v>
          </cell>
          <cell r="E16">
            <v>55</v>
          </cell>
          <cell r="F16" t="str">
            <v>T-008</v>
          </cell>
          <cell r="G16">
            <v>24</v>
          </cell>
          <cell r="H16">
            <v>120</v>
          </cell>
          <cell r="I16">
            <v>5</v>
          </cell>
        </row>
        <row r="17">
          <cell r="C17" t="str">
            <v>S12104-006A0X</v>
          </cell>
          <cell r="D17" t="str">
            <v>INS. CP TURN DIM &amp; LT</v>
          </cell>
          <cell r="E17">
            <v>45</v>
          </cell>
          <cell r="F17" t="str">
            <v>H-030</v>
          </cell>
          <cell r="G17">
            <v>10</v>
          </cell>
          <cell r="H17">
            <v>100</v>
          </cell>
          <cell r="I17">
            <v>10</v>
          </cell>
        </row>
        <row r="18">
          <cell r="C18" t="str">
            <v>S33055-005A0X</v>
          </cell>
          <cell r="D18" t="str">
            <v>BASE CRUISE</v>
          </cell>
          <cell r="E18">
            <v>48</v>
          </cell>
          <cell r="F18" t="str">
            <v>T-008</v>
          </cell>
          <cell r="G18">
            <v>32</v>
          </cell>
          <cell r="H18">
            <v>160</v>
          </cell>
          <cell r="I18">
            <v>5</v>
          </cell>
        </row>
        <row r="19">
          <cell r="C19" t="str">
            <v>S13083-003A0X</v>
          </cell>
          <cell r="D19" t="str">
            <v>INSULATOR CP WIPER LH</v>
          </cell>
          <cell r="E19">
            <v>30</v>
          </cell>
          <cell r="F19" t="str">
            <v>T-008</v>
          </cell>
          <cell r="G19">
            <v>8</v>
          </cell>
          <cell r="H19">
            <v>40</v>
          </cell>
          <cell r="I19">
            <v>5</v>
          </cell>
        </row>
        <row r="20">
          <cell r="C20" t="str">
            <v>S13098-005A0X</v>
          </cell>
          <cell r="D20" t="str">
            <v>INSULATOR WIPER RH</v>
          </cell>
          <cell r="E20">
            <v>60</v>
          </cell>
          <cell r="F20" t="str">
            <v>Seprator</v>
          </cell>
          <cell r="G20">
            <v>15</v>
          </cell>
          <cell r="H20">
            <v>90</v>
          </cell>
          <cell r="I20">
            <v>6</v>
          </cell>
        </row>
        <row r="21">
          <cell r="C21" t="str">
            <v>S11326-026A0X</v>
          </cell>
          <cell r="D21" t="str">
            <v>BASE LT 2 LIGHT (.R)</v>
          </cell>
          <cell r="E21">
            <v>40</v>
          </cell>
          <cell r="F21" t="str">
            <v>H-030</v>
          </cell>
          <cell r="G21">
            <v>20</v>
          </cell>
          <cell r="H21">
            <v>160</v>
          </cell>
          <cell r="I21">
            <v>8</v>
          </cell>
        </row>
        <row r="22">
          <cell r="C22" t="str">
            <v>S11326-060A0X</v>
          </cell>
          <cell r="D22" t="str">
            <v>BASE, WIP (.R)</v>
          </cell>
          <cell r="E22">
            <v>40</v>
          </cell>
          <cell r="F22" t="str">
            <v>H-030</v>
          </cell>
          <cell r="G22">
            <v>20</v>
          </cell>
          <cell r="H22">
            <v>160</v>
          </cell>
          <cell r="I22">
            <v>8</v>
          </cell>
        </row>
        <row r="23">
          <cell r="C23" t="str">
            <v>S12095-004A0X</v>
          </cell>
          <cell r="D23" t="str">
            <v>INS CP,TURN DIM. &amp; LT</v>
          </cell>
          <cell r="E23">
            <v>45</v>
          </cell>
          <cell r="F23" t="str">
            <v>H-030</v>
          </cell>
          <cell r="G23">
            <v>10</v>
          </cell>
          <cell r="H23">
            <v>100</v>
          </cell>
          <cell r="I23">
            <v>10</v>
          </cell>
        </row>
        <row r="24">
          <cell r="C24" t="str">
            <v>S12102-001A0X</v>
          </cell>
          <cell r="D24" t="str">
            <v>CONNECTOR CP FOG RH</v>
          </cell>
          <cell r="E24">
            <v>15</v>
          </cell>
          <cell r="F24" t="str">
            <v>U4-I05</v>
          </cell>
          <cell r="G24">
            <v>63</v>
          </cell>
          <cell r="H24">
            <v>318</v>
          </cell>
          <cell r="I24">
            <v>5.0476190476190474</v>
          </cell>
        </row>
        <row r="25">
          <cell r="C25" t="str">
            <v>S03066-003A0X</v>
          </cell>
          <cell r="D25" t="str">
            <v>BUSH</v>
          </cell>
          <cell r="E25">
            <v>19</v>
          </cell>
          <cell r="F25" t="str">
            <v>Polybag</v>
          </cell>
          <cell r="G25">
            <v>200</v>
          </cell>
          <cell r="H25">
            <v>400</v>
          </cell>
          <cell r="I25">
            <v>2</v>
          </cell>
        </row>
        <row r="26">
          <cell r="C26" t="str">
            <v>S12089-004A0X</v>
          </cell>
          <cell r="D26" t="str">
            <v>INSULATOR CP, FOG, LH</v>
          </cell>
          <cell r="E26">
            <v>15</v>
          </cell>
          <cell r="F26" t="str">
            <v>U4-I03</v>
          </cell>
          <cell r="G26">
            <v>250</v>
          </cell>
          <cell r="H26">
            <v>500</v>
          </cell>
          <cell r="I26">
            <v>2</v>
          </cell>
        </row>
        <row r="27">
          <cell r="C27" t="str">
            <v>S33045-010A0X</v>
          </cell>
          <cell r="D27" t="str">
            <v>TERMINAL COMP</v>
          </cell>
          <cell r="E27">
            <v>9</v>
          </cell>
          <cell r="F27" t="str">
            <v>U4-I03</v>
          </cell>
          <cell r="G27">
            <v>250</v>
          </cell>
          <cell r="H27">
            <v>400</v>
          </cell>
          <cell r="I27">
            <v>1.6</v>
          </cell>
        </row>
        <row r="28">
          <cell r="C28" t="str">
            <v>S32168-007A0X</v>
          </cell>
          <cell r="D28" t="str">
            <v xml:space="preserve">PIN HEADER </v>
          </cell>
          <cell r="E28">
            <v>15</v>
          </cell>
          <cell r="F28" t="str">
            <v>U4-S10</v>
          </cell>
          <cell r="G28">
            <v>95</v>
          </cell>
          <cell r="H28">
            <v>760</v>
          </cell>
          <cell r="I28">
            <v>8</v>
          </cell>
        </row>
        <row r="29">
          <cell r="C29" t="str">
            <v>S13083-011A0X</v>
          </cell>
          <cell r="D29" t="str">
            <v>INSULATOR CP,RR W.</v>
          </cell>
          <cell r="E29">
            <v>20</v>
          </cell>
          <cell r="F29" t="str">
            <v>U4-I03</v>
          </cell>
          <cell r="G29">
            <v>300</v>
          </cell>
          <cell r="H29">
            <v>300</v>
          </cell>
          <cell r="I29">
            <v>1</v>
          </cell>
        </row>
        <row r="30">
          <cell r="C30" t="str">
            <v>S11332-002A0X</v>
          </cell>
          <cell r="D30" t="str">
            <v>BASE FOG ( R)</v>
          </cell>
          <cell r="E30">
            <v>20</v>
          </cell>
          <cell r="F30" t="str">
            <v>H-030</v>
          </cell>
          <cell r="G30">
            <v>50</v>
          </cell>
          <cell r="H30">
            <v>100</v>
          </cell>
          <cell r="I30">
            <v>2</v>
          </cell>
        </row>
        <row r="31">
          <cell r="C31" t="str">
            <v>S12089-001A0X</v>
          </cell>
          <cell r="D31" t="str">
            <v>CONNECTOR CP FOG LH</v>
          </cell>
          <cell r="E31">
            <v>15</v>
          </cell>
          <cell r="F31" t="str">
            <v>U4-I05</v>
          </cell>
          <cell r="G31">
            <v>63</v>
          </cell>
          <cell r="H31">
            <v>441</v>
          </cell>
          <cell r="I31">
            <v>7</v>
          </cell>
        </row>
        <row r="32">
          <cell r="C32" t="str">
            <v>S32197-006A0X</v>
          </cell>
          <cell r="D32" t="str">
            <v xml:space="preserve">PIN HEADER </v>
          </cell>
          <cell r="E32">
            <v>12</v>
          </cell>
          <cell r="F32" t="str">
            <v>U4-I05</v>
          </cell>
          <cell r="G32">
            <v>95</v>
          </cell>
          <cell r="H32">
            <v>760</v>
          </cell>
          <cell r="I32">
            <v>8</v>
          </cell>
        </row>
        <row r="33">
          <cell r="C33" t="str">
            <v>S31777-003A0X</v>
          </cell>
          <cell r="D33" t="str">
            <v>BASE</v>
          </cell>
          <cell r="E33">
            <v>25</v>
          </cell>
          <cell r="F33" t="str">
            <v>T-008</v>
          </cell>
          <cell r="G33">
            <v>160</v>
          </cell>
          <cell r="H33">
            <v>800</v>
          </cell>
          <cell r="I33">
            <v>5</v>
          </cell>
        </row>
        <row r="34">
          <cell r="C34" t="str">
            <v>S33105-017A0X</v>
          </cell>
          <cell r="D34" t="str">
            <v>TERMINAL COMP</v>
          </cell>
          <cell r="E34">
            <v>9</v>
          </cell>
          <cell r="F34" t="str">
            <v>U4-I03</v>
          </cell>
          <cell r="G34">
            <v>250</v>
          </cell>
          <cell r="H34">
            <v>400</v>
          </cell>
          <cell r="I34">
            <v>1.6</v>
          </cell>
        </row>
        <row r="35">
          <cell r="C35" t="str">
            <v>M41224-022A0X</v>
          </cell>
          <cell r="D35" t="str">
            <v>BASE CP</v>
          </cell>
          <cell r="E35">
            <v>6</v>
          </cell>
          <cell r="F35" t="str">
            <v>U4-I03</v>
          </cell>
          <cell r="G35">
            <v>45</v>
          </cell>
          <cell r="H35">
            <v>180</v>
          </cell>
          <cell r="I35">
            <v>4</v>
          </cell>
        </row>
        <row r="36">
          <cell r="C36" t="str">
            <v>M41035-032A0X</v>
          </cell>
          <cell r="D36" t="str">
            <v>Base CP</v>
          </cell>
          <cell r="E36">
            <v>25</v>
          </cell>
          <cell r="F36" t="str">
            <v>U4-I03</v>
          </cell>
          <cell r="G36">
            <v>45</v>
          </cell>
          <cell r="H36">
            <v>180</v>
          </cell>
          <cell r="I36">
            <v>4</v>
          </cell>
        </row>
        <row r="37">
          <cell r="C37" t="str">
            <v>S11398-016A0X</v>
          </cell>
          <cell r="D37" t="str">
            <v xml:space="preserve">HOLDER CP CONTACT DIM </v>
          </cell>
          <cell r="E37">
            <v>15</v>
          </cell>
          <cell r="F37" t="str">
            <v>U4-I05</v>
          </cell>
          <cell r="G37">
            <v>63</v>
          </cell>
          <cell r="H37">
            <v>441</v>
          </cell>
          <cell r="I37">
            <v>7</v>
          </cell>
        </row>
        <row r="38">
          <cell r="C38" t="str">
            <v>S12104-003A0X</v>
          </cell>
          <cell r="D38" t="str">
            <v>CONTACT CP, DIMMER, RH</v>
          </cell>
          <cell r="E38">
            <v>15</v>
          </cell>
          <cell r="F38" t="str">
            <v>U4-I05</v>
          </cell>
          <cell r="G38">
            <v>63</v>
          </cell>
          <cell r="H38">
            <v>441</v>
          </cell>
          <cell r="I38">
            <v>7</v>
          </cell>
        </row>
        <row r="39">
          <cell r="C39" t="str">
            <v>S11474-010A0X</v>
          </cell>
          <cell r="D39" t="str">
            <v>BASE LT NOR (R)</v>
          </cell>
          <cell r="E39">
            <v>90</v>
          </cell>
          <cell r="F39" t="str">
            <v>U4-I05</v>
          </cell>
          <cell r="G39">
            <v>45</v>
          </cell>
          <cell r="H39">
            <v>180</v>
          </cell>
          <cell r="I39">
            <v>4</v>
          </cell>
        </row>
        <row r="40">
          <cell r="C40" t="str">
            <v>S31867-002A0X</v>
          </cell>
          <cell r="D40" t="str">
            <v>BASE CP</v>
          </cell>
          <cell r="E40">
            <v>27.5</v>
          </cell>
          <cell r="F40" t="str">
            <v>U4-I05</v>
          </cell>
          <cell r="G40">
            <v>63</v>
          </cell>
          <cell r="H40">
            <v>441</v>
          </cell>
          <cell r="I40">
            <v>7</v>
          </cell>
        </row>
        <row r="41">
          <cell r="C41" t="str">
            <v>S31868-005A0X</v>
          </cell>
          <cell r="D41" t="str">
            <v>BASE CP</v>
          </cell>
          <cell r="E41">
            <v>40</v>
          </cell>
          <cell r="F41" t="str">
            <v>U4-I05</v>
          </cell>
          <cell r="G41">
            <v>63</v>
          </cell>
          <cell r="H41">
            <v>441</v>
          </cell>
          <cell r="I41">
            <v>7</v>
          </cell>
        </row>
        <row r="42">
          <cell r="C42" t="str">
            <v>S31841-008A0X</v>
          </cell>
          <cell r="D42" t="str">
            <v>PIN HEADER</v>
          </cell>
          <cell r="E42">
            <v>9</v>
          </cell>
          <cell r="F42" t="str">
            <v>H-030</v>
          </cell>
          <cell r="G42">
            <v>200</v>
          </cell>
          <cell r="H42">
            <v>1000</v>
          </cell>
          <cell r="I42">
            <v>5</v>
          </cell>
        </row>
        <row r="43">
          <cell r="C43" t="str">
            <v>S31842-004A0X</v>
          </cell>
          <cell r="D43" t="str">
            <v>BASE CP</v>
          </cell>
          <cell r="E43">
            <v>30</v>
          </cell>
          <cell r="F43" t="str">
            <v>U4-I05</v>
          </cell>
          <cell r="G43">
            <v>63</v>
          </cell>
          <cell r="H43">
            <v>441</v>
          </cell>
          <cell r="I43">
            <v>7</v>
          </cell>
        </row>
        <row r="44">
          <cell r="C44" t="str">
            <v>S31838-004A0X</v>
          </cell>
          <cell r="D44" t="str">
            <v>BASE CP</v>
          </cell>
          <cell r="E44">
            <v>40</v>
          </cell>
          <cell r="F44" t="str">
            <v>U4-I05</v>
          </cell>
          <cell r="G44">
            <v>126</v>
          </cell>
          <cell r="H44">
            <v>882</v>
          </cell>
          <cell r="I44">
            <v>7</v>
          </cell>
        </row>
        <row r="45">
          <cell r="C45" t="str">
            <v>S12104-005A0X</v>
          </cell>
          <cell r="D45" t="str">
            <v>CONTACT CP, LIGHT</v>
          </cell>
          <cell r="E45">
            <v>15</v>
          </cell>
          <cell r="F45" t="str">
            <v>U4-S10</v>
          </cell>
          <cell r="G45">
            <v>77</v>
          </cell>
          <cell r="H45">
            <v>462</v>
          </cell>
          <cell r="I45">
            <v>6</v>
          </cell>
        </row>
        <row r="46">
          <cell r="C46" t="str">
            <v>S02020-010A0X</v>
          </cell>
          <cell r="D46" t="str">
            <v>Stator Sub-CP</v>
          </cell>
          <cell r="E46">
            <v>18</v>
          </cell>
          <cell r="F46" t="str">
            <v>U4-S10</v>
          </cell>
          <cell r="G46">
            <v>77</v>
          </cell>
          <cell r="H46">
            <v>693</v>
          </cell>
          <cell r="I46">
            <v>9</v>
          </cell>
        </row>
        <row r="47">
          <cell r="C47" t="str">
            <v>S21151-016A0X</v>
          </cell>
          <cell r="D47" t="str">
            <v>INSULATOR</v>
          </cell>
          <cell r="E47"/>
          <cell r="F47" t="str">
            <v>U4-I05</v>
          </cell>
          <cell r="G47">
            <v>63</v>
          </cell>
          <cell r="H47">
            <v>315</v>
          </cell>
          <cell r="I47">
            <v>5</v>
          </cell>
        </row>
        <row r="48">
          <cell r="C48" t="str">
            <v>S31705-009A0X</v>
          </cell>
          <cell r="D48" t="str">
            <v>PIN HEADER</v>
          </cell>
          <cell r="E48">
            <v>20</v>
          </cell>
          <cell r="F48" t="str">
            <v>T-008</v>
          </cell>
          <cell r="G48">
            <v>50</v>
          </cell>
          <cell r="H48">
            <v>250</v>
          </cell>
          <cell r="I48">
            <v>5</v>
          </cell>
        </row>
        <row r="49">
          <cell r="C49" t="str">
            <v>S11358-028A0X</v>
          </cell>
          <cell r="D49" t="str">
            <v>CONNECTOR CP MAIN</v>
          </cell>
          <cell r="E49">
            <v>80</v>
          </cell>
          <cell r="F49" t="str">
            <v>T-008</v>
          </cell>
          <cell r="G49">
            <v>70</v>
          </cell>
          <cell r="H49">
            <v>350</v>
          </cell>
          <cell r="I49">
            <v>5</v>
          </cell>
        </row>
        <row r="50">
          <cell r="C50" t="str">
            <v>S31437-004A0X</v>
          </cell>
          <cell r="D50" t="str">
            <v>INSULATOR CP</v>
          </cell>
          <cell r="E50">
            <v>18</v>
          </cell>
          <cell r="F50" t="str">
            <v>U4-I05</v>
          </cell>
          <cell r="G50">
            <v>63</v>
          </cell>
          <cell r="H50">
            <v>441</v>
          </cell>
          <cell r="I50">
            <v>7</v>
          </cell>
        </row>
        <row r="51">
          <cell r="C51" t="str">
            <v>S03066-001A0X</v>
          </cell>
          <cell r="D51" t="str">
            <v>CASE</v>
          </cell>
          <cell r="E51">
            <v>22.5</v>
          </cell>
          <cell r="F51" t="str">
            <v>U4-I03</v>
          </cell>
          <cell r="G51">
            <v>108</v>
          </cell>
          <cell r="H51">
            <v>324</v>
          </cell>
          <cell r="I51">
            <v>3</v>
          </cell>
        </row>
        <row r="52">
          <cell r="C52" t="str">
            <v>S13094-009A0X</v>
          </cell>
          <cell r="D52" t="str">
            <v xml:space="preserve">INSULATOR CP. RR INT </v>
          </cell>
          <cell r="E52">
            <v>36</v>
          </cell>
          <cell r="F52" t="str">
            <v>U4-I03</v>
          </cell>
          <cell r="G52">
            <v>300</v>
          </cell>
          <cell r="H52">
            <v>300</v>
          </cell>
          <cell r="I52">
            <v>1</v>
          </cell>
        </row>
        <row r="53">
          <cell r="C53" t="str">
            <v>S13114-003A0X</v>
          </cell>
          <cell r="D53" t="str">
            <v>INSULATOR CP.RR WIP</v>
          </cell>
          <cell r="E53">
            <v>20</v>
          </cell>
          <cell r="F53" t="str">
            <v>T-008</v>
          </cell>
          <cell r="G53">
            <v>60</v>
          </cell>
          <cell r="H53">
            <v>480</v>
          </cell>
          <cell r="I53">
            <v>8</v>
          </cell>
        </row>
        <row r="54">
          <cell r="C54" t="str">
            <v>S21009-014A0X</v>
          </cell>
          <cell r="D54" t="str">
            <v>SW BODY W CP.</v>
          </cell>
          <cell r="E54">
            <v>23</v>
          </cell>
          <cell r="F54" t="str">
            <v>U4-I03</v>
          </cell>
          <cell r="G54">
            <v>300</v>
          </cell>
          <cell r="H54">
            <v>900</v>
          </cell>
          <cell r="I54">
            <v>3</v>
          </cell>
        </row>
        <row r="55">
          <cell r="C55" t="str">
            <v>S21007-038A0X</v>
          </cell>
          <cell r="D55" t="str">
            <v>SWITCH BODY CP</v>
          </cell>
          <cell r="E55">
            <v>23</v>
          </cell>
          <cell r="F55" t="str">
            <v>T-008</v>
          </cell>
          <cell r="G55">
            <v>15</v>
          </cell>
          <cell r="H55">
            <v>300</v>
          </cell>
          <cell r="I55">
            <v>20</v>
          </cell>
        </row>
        <row r="56">
          <cell r="C56" t="str">
            <v>S13071-012A0X</v>
          </cell>
          <cell r="D56" t="str">
            <v>Contact CP RR Wiper</v>
          </cell>
          <cell r="E56">
            <v>17.5</v>
          </cell>
          <cell r="F56" t="str">
            <v>U4-S10</v>
          </cell>
          <cell r="G56">
            <v>77</v>
          </cell>
          <cell r="H56">
            <v>316</v>
          </cell>
          <cell r="I56">
            <v>4.1038961038961039</v>
          </cell>
        </row>
        <row r="57">
          <cell r="C57" t="str">
            <v>S11398-017A0X</v>
          </cell>
          <cell r="D57" t="str">
            <v>HOLDER CP CONTACT LIGHT</v>
          </cell>
          <cell r="E57">
            <v>15</v>
          </cell>
          <cell r="F57" t="str">
            <v>U4-S10</v>
          </cell>
          <cell r="G57">
            <v>77</v>
          </cell>
          <cell r="H57">
            <v>616</v>
          </cell>
          <cell r="I57">
            <v>8</v>
          </cell>
        </row>
        <row r="58">
          <cell r="C58" t="str">
            <v>S12052-003A0X</v>
          </cell>
          <cell r="D58" t="str">
            <v>Ins.Cp.Turn.Dimmer &amp; Light RH</v>
          </cell>
          <cell r="E58">
            <v>28</v>
          </cell>
          <cell r="F58" t="str">
            <v>T-008</v>
          </cell>
          <cell r="G58">
            <v>64</v>
          </cell>
          <cell r="H58">
            <v>192</v>
          </cell>
          <cell r="I58">
            <v>3</v>
          </cell>
        </row>
        <row r="59">
          <cell r="C59" t="str">
            <v>S03046-005A0X</v>
          </cell>
          <cell r="D59" t="str">
            <v>Insulator - B</v>
          </cell>
          <cell r="E59">
            <v>12</v>
          </cell>
          <cell r="F59" t="str">
            <v>U4-I03</v>
          </cell>
          <cell r="G59">
            <v>500</v>
          </cell>
          <cell r="H59">
            <v>2000</v>
          </cell>
          <cell r="I59">
            <v>4</v>
          </cell>
        </row>
        <row r="60">
          <cell r="C60" t="str">
            <v>S12052-012A0X</v>
          </cell>
          <cell r="D60" t="str">
            <v>INSULATO CO FOG</v>
          </cell>
          <cell r="E60">
            <v>10</v>
          </cell>
          <cell r="F60" t="str">
            <v>U4-I03</v>
          </cell>
          <cell r="G60">
            <v>300</v>
          </cell>
          <cell r="H60">
            <v>1200</v>
          </cell>
          <cell r="I60">
            <v>4</v>
          </cell>
        </row>
        <row r="61">
          <cell r="C61" t="str">
            <v>S13110-005A0X</v>
          </cell>
          <cell r="D61" t="str">
            <v>INSULATOR CP RR WIPER RH</v>
          </cell>
          <cell r="E61">
            <v>12.5</v>
          </cell>
          <cell r="F61" t="str">
            <v>T-008</v>
          </cell>
          <cell r="G61">
            <v>60</v>
          </cell>
          <cell r="H61">
            <v>480</v>
          </cell>
          <cell r="I61">
            <v>8</v>
          </cell>
        </row>
        <row r="62">
          <cell r="C62" t="str">
            <v>S01100-004A9X</v>
          </cell>
          <cell r="D62" t="str">
            <v>INSULATOR CP</v>
          </cell>
          <cell r="E62">
            <v>16</v>
          </cell>
          <cell r="F62" t="str">
            <v>U4-I03</v>
          </cell>
          <cell r="G62">
            <v>400</v>
          </cell>
          <cell r="H62">
            <v>1600</v>
          </cell>
          <cell r="I62">
            <v>4</v>
          </cell>
        </row>
        <row r="63">
          <cell r="C63" t="str">
            <v>S21174-012A0X</v>
          </cell>
          <cell r="D63" t="str">
            <v>INSULATOR CP W/L</v>
          </cell>
          <cell r="E63">
            <v>10.9</v>
          </cell>
          <cell r="F63" t="str">
            <v>T-008</v>
          </cell>
          <cell r="G63">
            <v>200</v>
          </cell>
          <cell r="H63">
            <v>1000</v>
          </cell>
          <cell r="I63">
            <v>5</v>
          </cell>
        </row>
        <row r="64">
          <cell r="C64" t="str">
            <v>S11026-054A0X</v>
          </cell>
          <cell r="D64" t="str">
            <v>Insulator Cp Dimmer &amp; Light RH</v>
          </cell>
          <cell r="E64">
            <v>24</v>
          </cell>
          <cell r="F64" t="str">
            <v>T-008</v>
          </cell>
          <cell r="G64">
            <v>56</v>
          </cell>
          <cell r="H64">
            <v>168</v>
          </cell>
          <cell r="I64">
            <v>3</v>
          </cell>
        </row>
        <row r="65">
          <cell r="C65" t="str">
            <v>S31839-004A0X</v>
          </cell>
          <cell r="D65" t="str">
            <v>BASE CP</v>
          </cell>
          <cell r="E65">
            <v>36</v>
          </cell>
          <cell r="F65" t="str">
            <v>U4-I05</v>
          </cell>
          <cell r="G65">
            <v>63</v>
          </cell>
          <cell r="H65">
            <v>441</v>
          </cell>
          <cell r="I65">
            <v>7</v>
          </cell>
        </row>
        <row r="66">
          <cell r="C66" t="str">
            <v>S03058-002A0X</v>
          </cell>
          <cell r="D66" t="str">
            <v>INSULATOR. CP WIPER RH</v>
          </cell>
          <cell r="E66">
            <v>16.5</v>
          </cell>
          <cell r="F66" t="str">
            <v>U4-I03</v>
          </cell>
          <cell r="G66">
            <v>144</v>
          </cell>
          <cell r="H66">
            <v>720</v>
          </cell>
          <cell r="I66">
            <v>5</v>
          </cell>
        </row>
        <row r="67">
          <cell r="C67" t="str">
            <v>S31740-008A0X</v>
          </cell>
          <cell r="D67" t="str">
            <v>PIN HEADER CP</v>
          </cell>
          <cell r="E67">
            <v>20</v>
          </cell>
          <cell r="F67" t="str">
            <v>U4-I05</v>
          </cell>
          <cell r="G67">
            <v>63</v>
          </cell>
          <cell r="H67">
            <v>378</v>
          </cell>
          <cell r="I67">
            <v>6</v>
          </cell>
        </row>
        <row r="68">
          <cell r="C68" t="str">
            <v>S21121-021A0X</v>
          </cell>
          <cell r="D68" t="str">
            <v>TERMINAL BASE AS</v>
          </cell>
          <cell r="E68">
            <v>18</v>
          </cell>
          <cell r="F68" t="str">
            <v>U4-I05</v>
          </cell>
          <cell r="G68">
            <v>63</v>
          </cell>
          <cell r="H68">
            <v>126</v>
          </cell>
          <cell r="I68">
            <v>2</v>
          </cell>
        </row>
        <row r="69">
          <cell r="C69" t="str">
            <v>S11038-029A0X</v>
          </cell>
          <cell r="D69" t="str">
            <v>Base Insert LT</v>
          </cell>
          <cell r="E69">
            <v>36</v>
          </cell>
          <cell r="F69" t="str">
            <v>H-030</v>
          </cell>
          <cell r="G69">
            <v>100</v>
          </cell>
          <cell r="H69">
            <v>100</v>
          </cell>
          <cell r="I69">
            <v>1</v>
          </cell>
        </row>
        <row r="70">
          <cell r="C70" t="str">
            <v>S12095-011A0X</v>
          </cell>
          <cell r="D70" t="str">
            <v>CONTACT CP, LIGHT</v>
          </cell>
          <cell r="E70">
            <v>30</v>
          </cell>
          <cell r="F70" t="str">
            <v>U4-I05</v>
          </cell>
          <cell r="G70">
            <v>77</v>
          </cell>
          <cell r="H70">
            <v>616</v>
          </cell>
          <cell r="I70">
            <v>8</v>
          </cell>
        </row>
        <row r="71">
          <cell r="C71" t="str">
            <v>S12095-003A0X</v>
          </cell>
          <cell r="D71" t="str">
            <v>CONTACT CP, DIMMER</v>
          </cell>
          <cell r="E71">
            <v>18</v>
          </cell>
          <cell r="F71" t="str">
            <v>U4-I05</v>
          </cell>
          <cell r="G71">
            <v>63</v>
          </cell>
          <cell r="H71">
            <v>616</v>
          </cell>
          <cell r="I71">
            <v>9.7777777777777786</v>
          </cell>
        </row>
        <row r="72">
          <cell r="C72" t="str">
            <v>S31569-005A0X</v>
          </cell>
          <cell r="D72" t="str">
            <v>INSULATOR</v>
          </cell>
          <cell r="E72">
            <v>30</v>
          </cell>
          <cell r="F72" t="str">
            <v>T-008</v>
          </cell>
          <cell r="G72">
            <v>40</v>
          </cell>
          <cell r="H72">
            <v>280</v>
          </cell>
          <cell r="I72">
            <v>7</v>
          </cell>
        </row>
        <row r="73">
          <cell r="C73" t="str">
            <v>S12091-001A0X</v>
          </cell>
          <cell r="D73" t="str">
            <v>INSULATOR CP, FOG, LH</v>
          </cell>
          <cell r="E73">
            <v>20</v>
          </cell>
          <cell r="F73" t="str">
            <v>T-008</v>
          </cell>
          <cell r="G73">
            <v>60</v>
          </cell>
          <cell r="H73">
            <v>480</v>
          </cell>
          <cell r="I73">
            <v>8</v>
          </cell>
        </row>
        <row r="74">
          <cell r="C74" t="str">
            <v>S11340-008A0X</v>
          </cell>
          <cell r="D74" t="str">
            <v>PIECE CP RW. (R)</v>
          </cell>
          <cell r="E74">
            <v>51</v>
          </cell>
          <cell r="F74" t="str">
            <v>U4-I03</v>
          </cell>
          <cell r="G74">
            <v>50</v>
          </cell>
          <cell r="H74">
            <v>100</v>
          </cell>
          <cell r="I74">
            <v>2</v>
          </cell>
        </row>
        <row r="75">
          <cell r="C75" t="str">
            <v>S11122-015A0X</v>
          </cell>
          <cell r="D75" t="str">
            <v>Base RW</v>
          </cell>
          <cell r="E75">
            <v>36</v>
          </cell>
          <cell r="F75" t="str">
            <v>T-008</v>
          </cell>
          <cell r="G75">
            <v>63</v>
          </cell>
          <cell r="H75">
            <v>126</v>
          </cell>
          <cell r="I75">
            <v>2</v>
          </cell>
        </row>
        <row r="76">
          <cell r="C76" t="str">
            <v>S13112-006A0X</v>
          </cell>
          <cell r="D76" t="str">
            <v>INSULATOR CP, RR WI.</v>
          </cell>
          <cell r="E76">
            <v>19</v>
          </cell>
          <cell r="F76" t="str">
            <v>T-008</v>
          </cell>
          <cell r="G76">
            <v>60</v>
          </cell>
          <cell r="H76">
            <v>480</v>
          </cell>
          <cell r="I76">
            <v>8</v>
          </cell>
        </row>
        <row r="77">
          <cell r="C77" t="str">
            <v>S13092-004A0X</v>
          </cell>
          <cell r="D77" t="str">
            <v>CONNECTOR CP. AUTO</v>
          </cell>
          <cell r="E77">
            <v>40</v>
          </cell>
          <cell r="F77" t="str">
            <v>U4-I05</v>
          </cell>
          <cell r="G77">
            <v>63</v>
          </cell>
          <cell r="H77">
            <v>441</v>
          </cell>
          <cell r="I77">
            <v>7</v>
          </cell>
        </row>
        <row r="78">
          <cell r="C78" t="str">
            <v>S12094-001A0X</v>
          </cell>
          <cell r="D78" t="str">
            <v>CONNECTOR CP. AUTO</v>
          </cell>
          <cell r="E78">
            <v>20</v>
          </cell>
          <cell r="F78" t="str">
            <v>T-008</v>
          </cell>
          <cell r="G78">
            <v>120</v>
          </cell>
          <cell r="H78">
            <v>480</v>
          </cell>
          <cell r="I78">
            <v>4</v>
          </cell>
        </row>
        <row r="79">
          <cell r="C79" t="str">
            <v>S13123-002A0X</v>
          </cell>
          <cell r="D79" t="str">
            <v>INSULATOR CP RR WIPER LH</v>
          </cell>
          <cell r="E79">
            <v>20</v>
          </cell>
          <cell r="F79" t="str">
            <v>T-008</v>
          </cell>
          <cell r="G79">
            <v>100</v>
          </cell>
          <cell r="H79">
            <v>800</v>
          </cell>
          <cell r="I79">
            <v>8</v>
          </cell>
        </row>
        <row r="80">
          <cell r="C80" t="str">
            <v>S21077-008A0X</v>
          </cell>
          <cell r="D80" t="str">
            <v>INSULATOR CP</v>
          </cell>
          <cell r="E80">
            <v>40</v>
          </cell>
          <cell r="F80" t="str">
            <v>U4-I04</v>
          </cell>
          <cell r="G80">
            <v>15</v>
          </cell>
          <cell r="H80">
            <v>60</v>
          </cell>
          <cell r="I80">
            <v>4</v>
          </cell>
        </row>
        <row r="81">
          <cell r="C81" t="str">
            <v>S21028-002A0X</v>
          </cell>
          <cell r="D81" t="str">
            <v>Insulator</v>
          </cell>
          <cell r="E81">
            <v>36</v>
          </cell>
          <cell r="F81" t="str">
            <v>T-008</v>
          </cell>
          <cell r="G81">
            <v>15</v>
          </cell>
          <cell r="H81">
            <v>90</v>
          </cell>
          <cell r="I81">
            <v>6</v>
          </cell>
        </row>
        <row r="82">
          <cell r="C82" t="str">
            <v>S12094-003A0X</v>
          </cell>
          <cell r="D82" t="str">
            <v>INSULATOR CP</v>
          </cell>
          <cell r="E82">
            <v>48</v>
          </cell>
          <cell r="F82" t="str">
            <v>T-008</v>
          </cell>
          <cell r="G82">
            <v>32</v>
          </cell>
          <cell r="H82">
            <v>128</v>
          </cell>
          <cell r="I82">
            <v>4</v>
          </cell>
        </row>
        <row r="83">
          <cell r="C83" t="str">
            <v>S41354-011A0X</v>
          </cell>
          <cell r="D83" t="str">
            <v>Insulator Cp</v>
          </cell>
          <cell r="E83">
            <v>45</v>
          </cell>
          <cell r="F83" t="str">
            <v>T-008</v>
          </cell>
          <cell r="G83">
            <v>16</v>
          </cell>
          <cell r="H83">
            <v>64</v>
          </cell>
          <cell r="I83">
            <v>4</v>
          </cell>
        </row>
        <row r="84">
          <cell r="C84" t="str">
            <v>S12071-001A0X</v>
          </cell>
          <cell r="D84" t="str">
            <v>Ins. CP Turn. Dim lt</v>
          </cell>
          <cell r="E84">
            <v>35</v>
          </cell>
          <cell r="F84" t="str">
            <v>U4-I03</v>
          </cell>
          <cell r="G84">
            <v>64</v>
          </cell>
          <cell r="H84">
            <v>192</v>
          </cell>
          <cell r="I84">
            <v>3</v>
          </cell>
        </row>
        <row r="85">
          <cell r="C85" t="str">
            <v>S11160-006A0X</v>
          </cell>
          <cell r="D85" t="str">
            <v>Base FR &amp; RR Fog R</v>
          </cell>
          <cell r="E85">
            <v>20</v>
          </cell>
          <cell r="F85" t="str">
            <v>H-030</v>
          </cell>
          <cell r="G85">
            <v>150</v>
          </cell>
          <cell r="H85">
            <v>300</v>
          </cell>
          <cell r="I85">
            <v>2</v>
          </cell>
        </row>
        <row r="86">
          <cell r="C86" t="str">
            <v>S31064-006A0X</v>
          </cell>
          <cell r="D86" t="str">
            <v>BASE CP</v>
          </cell>
          <cell r="E86">
            <v>24</v>
          </cell>
          <cell r="F86" t="str">
            <v>T-008</v>
          </cell>
          <cell r="G86">
            <v>50</v>
          </cell>
          <cell r="H86">
            <v>400</v>
          </cell>
          <cell r="I86">
            <v>8</v>
          </cell>
        </row>
        <row r="87">
          <cell r="C87" t="str">
            <v>S33045-009A0X</v>
          </cell>
          <cell r="D87" t="str">
            <v>BASE AUDIO</v>
          </cell>
          <cell r="E87">
            <v>27.5</v>
          </cell>
          <cell r="F87" t="str">
            <v>T-008</v>
          </cell>
          <cell r="G87">
            <v>32</v>
          </cell>
          <cell r="H87">
            <v>160</v>
          </cell>
          <cell r="I87">
            <v>5</v>
          </cell>
        </row>
        <row r="88">
          <cell r="C88" t="str">
            <v>S11035-015A0X</v>
          </cell>
          <cell r="D88" t="str">
            <v>CONNECTOR CP FOG</v>
          </cell>
          <cell r="E88">
            <v>15</v>
          </cell>
          <cell r="F88" t="str">
            <v>T-008</v>
          </cell>
          <cell r="G88">
            <v>50</v>
          </cell>
          <cell r="H88">
            <v>400</v>
          </cell>
          <cell r="I88">
            <v>8</v>
          </cell>
        </row>
        <row r="89">
          <cell r="C89" t="str">
            <v>S12052-001A0X</v>
          </cell>
          <cell r="D89" t="str">
            <v>CONNECTOR CP,FOG</v>
          </cell>
          <cell r="E89">
            <v>13</v>
          </cell>
          <cell r="F89" t="str">
            <v>T-008</v>
          </cell>
          <cell r="G89">
            <v>120</v>
          </cell>
          <cell r="H89">
            <v>480</v>
          </cell>
          <cell r="I89">
            <v>4</v>
          </cell>
        </row>
        <row r="90">
          <cell r="C90" t="str">
            <v>S31123-005A0X</v>
          </cell>
          <cell r="D90" t="str">
            <v>Base Cp.</v>
          </cell>
          <cell r="E90">
            <v>20</v>
          </cell>
          <cell r="F90" t="str">
            <v>T-008</v>
          </cell>
          <cell r="G90">
            <v>50</v>
          </cell>
          <cell r="H90">
            <v>400</v>
          </cell>
          <cell r="I90">
            <v>8</v>
          </cell>
        </row>
        <row r="91">
          <cell r="C91" t="str">
            <v>S22016-008A0X</v>
          </cell>
          <cell r="D91" t="str">
            <v>Insulator Cp.</v>
          </cell>
          <cell r="E91">
            <v>36</v>
          </cell>
          <cell r="F91" t="str">
            <v>T-008</v>
          </cell>
          <cell r="G91">
            <v>60</v>
          </cell>
          <cell r="H91">
            <v>480</v>
          </cell>
          <cell r="I91">
            <v>8</v>
          </cell>
        </row>
        <row r="92">
          <cell r="C92" t="str">
            <v>S31121-012A0X</v>
          </cell>
          <cell r="D92" t="str">
            <v>BASE CP.</v>
          </cell>
          <cell r="E92">
            <v>28</v>
          </cell>
          <cell r="F92" t="str">
            <v>T-008</v>
          </cell>
          <cell r="G92">
            <v>80</v>
          </cell>
          <cell r="H92">
            <v>400</v>
          </cell>
          <cell r="I92">
            <v>5</v>
          </cell>
        </row>
        <row r="93">
          <cell r="C93" t="str">
            <v>S31605-002A0X</v>
          </cell>
          <cell r="D93" t="str">
            <v>BASE CP.</v>
          </cell>
          <cell r="E93">
            <v>50</v>
          </cell>
          <cell r="F93" t="str">
            <v>T-008</v>
          </cell>
          <cell r="G93">
            <v>42</v>
          </cell>
          <cell r="H93">
            <v>420</v>
          </cell>
          <cell r="I93">
            <v>10</v>
          </cell>
        </row>
        <row r="94">
          <cell r="C94" t="str">
            <v>S31068-005A0X</v>
          </cell>
          <cell r="D94" t="str">
            <v>Base CP</v>
          </cell>
          <cell r="E94">
            <v>30</v>
          </cell>
          <cell r="F94" t="str">
            <v>T-008</v>
          </cell>
          <cell r="G94">
            <v>50</v>
          </cell>
          <cell r="H94">
            <v>400</v>
          </cell>
          <cell r="I94">
            <v>8</v>
          </cell>
        </row>
        <row r="95">
          <cell r="C95" t="str">
            <v>S12106-001A0X</v>
          </cell>
          <cell r="D95" t="str">
            <v xml:space="preserve">CONNECTOR CP AUTO LIGHT </v>
          </cell>
          <cell r="E95">
            <v>30</v>
          </cell>
          <cell r="F95" t="str">
            <v>T-008</v>
          </cell>
          <cell r="G95">
            <v>60</v>
          </cell>
          <cell r="H95">
            <v>480</v>
          </cell>
          <cell r="I95">
            <v>8</v>
          </cell>
        </row>
        <row r="96">
          <cell r="C96" t="str">
            <v>S11035-026A0X</v>
          </cell>
          <cell r="D96" t="str">
            <v>INSULATOR CP FOG</v>
          </cell>
          <cell r="E96">
            <v>25</v>
          </cell>
          <cell r="F96" t="str">
            <v>U4-I03</v>
          </cell>
          <cell r="G96">
            <v>300</v>
          </cell>
          <cell r="H96">
            <v>900</v>
          </cell>
          <cell r="I96">
            <v>3</v>
          </cell>
        </row>
        <row r="97">
          <cell r="C97" t="str">
            <v>S03080-004A0X</v>
          </cell>
          <cell r="D97" t="str">
            <v>COUPLER GUIDE  </v>
          </cell>
          <cell r="E97">
            <v>51</v>
          </cell>
          <cell r="F97" t="str">
            <v>T-008</v>
          </cell>
          <cell r="G97">
            <v>48</v>
          </cell>
          <cell r="H97">
            <v>192</v>
          </cell>
          <cell r="I97">
            <v>4</v>
          </cell>
        </row>
        <row r="98">
          <cell r="C98" t="str">
            <v>S11432-007A0X</v>
          </cell>
          <cell r="D98" t="str">
            <v>INSULATOR CP WIPER RH</v>
          </cell>
          <cell r="E98">
            <v>40</v>
          </cell>
          <cell r="F98" t="str">
            <v>T-008</v>
          </cell>
          <cell r="G98">
            <v>20</v>
          </cell>
          <cell r="H98">
            <v>160</v>
          </cell>
          <cell r="I98">
            <v>8</v>
          </cell>
        </row>
        <row r="99">
          <cell r="C99" t="str">
            <v>S11434-002A0X</v>
          </cell>
          <cell r="D99" t="str">
            <v>INSULATOR CP LIGHT RH</v>
          </cell>
          <cell r="E99">
            <v>45</v>
          </cell>
          <cell r="F99" t="str">
            <v>T-008</v>
          </cell>
          <cell r="G99">
            <v>20</v>
          </cell>
          <cell r="H99">
            <v>160</v>
          </cell>
          <cell r="I99">
            <v>8</v>
          </cell>
        </row>
        <row r="100">
          <cell r="C100" t="str">
            <v>S13080-004A0X</v>
          </cell>
          <cell r="D100" t="str">
            <v>INSULATOR CP. WIPER RH</v>
          </cell>
          <cell r="E100">
            <v>23</v>
          </cell>
          <cell r="F100" t="str">
            <v>Seprator</v>
          </cell>
          <cell r="G100">
            <v>15</v>
          </cell>
          <cell r="H100">
            <v>90</v>
          </cell>
          <cell r="I100">
            <v>6</v>
          </cell>
        </row>
        <row r="101">
          <cell r="C101" t="str">
            <v>S13050-003A0X</v>
          </cell>
          <cell r="D101" t="str">
            <v>INSULATOR</v>
          </cell>
          <cell r="E101">
            <v>23</v>
          </cell>
          <cell r="F101" t="str">
            <v>Seprator</v>
          </cell>
          <cell r="G101">
            <v>15</v>
          </cell>
          <cell r="H101">
            <v>90</v>
          </cell>
          <cell r="I101">
            <v>6</v>
          </cell>
        </row>
        <row r="102">
          <cell r="C102" t="str">
            <v>S13094-014A0X</v>
          </cell>
          <cell r="D102" t="str">
            <v>INSULATOR CP. WIPER RH</v>
          </cell>
          <cell r="E102">
            <v>60</v>
          </cell>
          <cell r="F102" t="str">
            <v>T-008</v>
          </cell>
          <cell r="G102">
            <v>9</v>
          </cell>
          <cell r="H102">
            <v>90</v>
          </cell>
          <cell r="I102">
            <v>10</v>
          </cell>
        </row>
        <row r="103">
          <cell r="C103" t="str">
            <v>S22166-016A0X</v>
          </cell>
          <cell r="D103" t="str">
            <v>BASE CP</v>
          </cell>
          <cell r="E103">
            <v>32</v>
          </cell>
          <cell r="F103" t="str">
            <v>T-008</v>
          </cell>
          <cell r="G103">
            <v>8</v>
          </cell>
          <cell r="H103">
            <v>32</v>
          </cell>
          <cell r="I103">
            <v>4</v>
          </cell>
        </row>
        <row r="104">
          <cell r="C104" t="str">
            <v>S22127-003A0X</v>
          </cell>
          <cell r="D104" t="str">
            <v>INSULATOR CP</v>
          </cell>
          <cell r="E104">
            <v>13</v>
          </cell>
          <cell r="F104" t="str">
            <v>T-008</v>
          </cell>
          <cell r="G104">
            <v>64</v>
          </cell>
          <cell r="H104">
            <v>512</v>
          </cell>
          <cell r="I104">
            <v>8</v>
          </cell>
        </row>
        <row r="105">
          <cell r="C105" t="str">
            <v>S11210-020A0X</v>
          </cell>
          <cell r="D105" t="str">
            <v>INSULATOR CP. FOG RH</v>
          </cell>
          <cell r="E105">
            <v>10</v>
          </cell>
          <cell r="F105" t="str">
            <v>U4-I05</v>
          </cell>
          <cell r="G105">
            <v>63</v>
          </cell>
          <cell r="H105">
            <v>441</v>
          </cell>
          <cell r="I105">
            <v>7</v>
          </cell>
        </row>
        <row r="106">
          <cell r="C106" t="str">
            <v>S31135-011A0X</v>
          </cell>
          <cell r="D106" t="str">
            <v>Base Cp</v>
          </cell>
          <cell r="E106">
            <v>15</v>
          </cell>
          <cell r="F106" t="str">
            <v>H-030</v>
          </cell>
          <cell r="G106">
            <v>60</v>
          </cell>
          <cell r="H106">
            <v>120</v>
          </cell>
          <cell r="I106">
            <v>2</v>
          </cell>
        </row>
        <row r="107">
          <cell r="C107" t="str">
            <v>S13052-005A0X</v>
          </cell>
          <cell r="D107" t="str">
            <v>CONTACT CP.RR.WI</v>
          </cell>
          <cell r="E107">
            <v>16</v>
          </cell>
          <cell r="F107" t="str">
            <v>U4-I05</v>
          </cell>
          <cell r="G107">
            <v>77</v>
          </cell>
          <cell r="H107">
            <v>616</v>
          </cell>
          <cell r="I107">
            <v>8</v>
          </cell>
        </row>
        <row r="108">
          <cell r="C108" t="str">
            <v>S07023-002A0X</v>
          </cell>
          <cell r="D108" t="str">
            <v>INSULATOR</v>
          </cell>
          <cell r="E108">
            <v>20</v>
          </cell>
          <cell r="F108" t="str">
            <v>Polybag</v>
          </cell>
          <cell r="G108">
            <v>200</v>
          </cell>
          <cell r="H108">
            <v>600</v>
          </cell>
          <cell r="I108">
            <v>3</v>
          </cell>
        </row>
        <row r="109">
          <cell r="C109" t="str">
            <v>S02013-008A0X</v>
          </cell>
          <cell r="D109" t="str">
            <v>CONNECTOR CP</v>
          </cell>
          <cell r="E109">
            <v>40</v>
          </cell>
          <cell r="F109" t="str">
            <v>Polybag</v>
          </cell>
          <cell r="G109">
            <v>100</v>
          </cell>
          <cell r="H109">
            <v>600</v>
          </cell>
          <cell r="I109">
            <v>6</v>
          </cell>
        </row>
        <row r="110">
          <cell r="C110" t="str">
            <v>S03062-001A0X</v>
          </cell>
          <cell r="D110" t="str">
            <v>INSULATOR</v>
          </cell>
          <cell r="E110">
            <v>20</v>
          </cell>
          <cell r="F110" t="str">
            <v>T-008</v>
          </cell>
          <cell r="G110">
            <v>144</v>
          </cell>
          <cell r="H110">
            <v>720</v>
          </cell>
          <cell r="I110">
            <v>5</v>
          </cell>
        </row>
        <row r="111">
          <cell r="C111" t="str">
            <v>S32073-012A0X</v>
          </cell>
          <cell r="D111" t="str">
            <v>Ter. Guide</v>
          </cell>
          <cell r="E111">
            <v>15</v>
          </cell>
          <cell r="F111" t="str">
            <v>Polybag</v>
          </cell>
          <cell r="G111">
            <v>200</v>
          </cell>
          <cell r="H111">
            <v>800</v>
          </cell>
          <cell r="I111">
            <v>4</v>
          </cell>
        </row>
        <row r="112">
          <cell r="C112" t="str">
            <v>S02036-004A0X</v>
          </cell>
          <cell r="D112" t="str">
            <v>Connector CP</v>
          </cell>
          <cell r="E112">
            <v>40</v>
          </cell>
          <cell r="F112" t="str">
            <v>Polybag</v>
          </cell>
          <cell r="G112">
            <v>50</v>
          </cell>
          <cell r="H112">
            <v>200</v>
          </cell>
          <cell r="I112">
            <v>4</v>
          </cell>
        </row>
        <row r="113">
          <cell r="C113" t="str">
            <v>S11026-011A0X</v>
          </cell>
          <cell r="D113" t="str">
            <v>INS CP HAZARD</v>
          </cell>
          <cell r="E113">
            <v>19</v>
          </cell>
          <cell r="F113" t="str">
            <v>T-008</v>
          </cell>
          <cell r="G113">
            <v>24</v>
          </cell>
          <cell r="H113">
            <v>144</v>
          </cell>
          <cell r="I113">
            <v>6</v>
          </cell>
        </row>
        <row r="114">
          <cell r="C114" t="str">
            <v>S11026-026A0X</v>
          </cell>
          <cell r="D114" t="str">
            <v>INS CP WIPER</v>
          </cell>
          <cell r="E114">
            <v>19</v>
          </cell>
          <cell r="F114" t="str">
            <v>T-008</v>
          </cell>
          <cell r="G114">
            <v>24</v>
          </cell>
          <cell r="H114">
            <v>288</v>
          </cell>
          <cell r="I114">
            <v>12</v>
          </cell>
        </row>
        <row r="115">
          <cell r="C115" t="str">
            <v>S03046-002A0X</v>
          </cell>
          <cell r="D115" t="str">
            <v>Insulator - A</v>
          </cell>
          <cell r="E115">
            <v>25</v>
          </cell>
          <cell r="F115" t="str">
            <v>U4-I03</v>
          </cell>
          <cell r="G115">
            <v>120</v>
          </cell>
          <cell r="H115">
            <v>600</v>
          </cell>
          <cell r="I115">
            <v>5</v>
          </cell>
        </row>
        <row r="116">
          <cell r="C116" t="str">
            <v>S03077-001A0X</v>
          </cell>
          <cell r="D116" t="str">
            <v>COUPLER GUIDE 6P</v>
          </cell>
          <cell r="E116">
            <v>51</v>
          </cell>
          <cell r="F116" t="str">
            <v>U4-I03</v>
          </cell>
          <cell r="G116">
            <v>108</v>
          </cell>
          <cell r="H116">
            <v>324</v>
          </cell>
          <cell r="I116">
            <v>3</v>
          </cell>
        </row>
        <row r="117">
          <cell r="C117" t="str">
            <v>S03066-008A0X</v>
          </cell>
          <cell r="D117" t="str">
            <v>COUPLER GUIDE 4P</v>
          </cell>
          <cell r="E117">
            <v>51</v>
          </cell>
          <cell r="F117" t="str">
            <v>U4-I03</v>
          </cell>
          <cell r="G117">
            <v>108</v>
          </cell>
          <cell r="H117">
            <v>324</v>
          </cell>
          <cell r="I117">
            <v>3</v>
          </cell>
        </row>
        <row r="118">
          <cell r="C118" t="str">
            <v>S31620-002A0X</v>
          </cell>
          <cell r="D118" t="str">
            <v>INSULATOR CP.</v>
          </cell>
          <cell r="E118">
            <v>30</v>
          </cell>
          <cell r="F118" t="str">
            <v>T-008</v>
          </cell>
          <cell r="G118">
            <v>50</v>
          </cell>
          <cell r="H118">
            <v>400</v>
          </cell>
          <cell r="I118">
            <v>8</v>
          </cell>
        </row>
        <row r="119">
          <cell r="C119" t="str">
            <v>S22085-002A0X</v>
          </cell>
          <cell r="D119" t="str">
            <v>INSULATOR</v>
          </cell>
          <cell r="E119">
            <v>15</v>
          </cell>
          <cell r="F119" t="str">
            <v>T-008</v>
          </cell>
          <cell r="G119">
            <v>60</v>
          </cell>
          <cell r="H119">
            <v>600</v>
          </cell>
          <cell r="I119">
            <v>10</v>
          </cell>
        </row>
        <row r="120">
          <cell r="C120" t="str">
            <v>S22166-013A0X</v>
          </cell>
          <cell r="D120" t="str">
            <v>HOLDER INTR CP</v>
          </cell>
          <cell r="E120">
            <v>20</v>
          </cell>
          <cell r="F120" t="str">
            <v>U4-I05</v>
          </cell>
          <cell r="G120">
            <v>60</v>
          </cell>
          <cell r="H120">
            <v>360</v>
          </cell>
          <cell r="I120">
            <v>6</v>
          </cell>
        </row>
        <row r="121">
          <cell r="C121" t="str">
            <v>S31850-003A0X</v>
          </cell>
          <cell r="D121" t="str">
            <v>INSULATOR CP</v>
          </cell>
          <cell r="E121">
            <v>18</v>
          </cell>
          <cell r="F121" t="str">
            <v>U4-I05</v>
          </cell>
          <cell r="G121">
            <v>63</v>
          </cell>
          <cell r="H121">
            <v>441</v>
          </cell>
          <cell r="I121">
            <v>7</v>
          </cell>
        </row>
        <row r="122">
          <cell r="C122" t="str">
            <v>S21174-014A0X</v>
          </cell>
          <cell r="D122" t="str">
            <v>INSULATOR CP W/L</v>
          </cell>
          <cell r="E122">
            <v>16</v>
          </cell>
          <cell r="F122" t="str">
            <v>T-008</v>
          </cell>
          <cell r="G122">
            <v>210</v>
          </cell>
          <cell r="H122">
            <v>1050</v>
          </cell>
          <cell r="I122">
            <v>5</v>
          </cell>
        </row>
        <row r="123">
          <cell r="C123" t="str">
            <v>S12100-003A0X</v>
          </cell>
          <cell r="D123" t="str">
            <v>INSULATOR CP</v>
          </cell>
          <cell r="E123">
            <v>24</v>
          </cell>
          <cell r="F123" t="str">
            <v>H-030</v>
          </cell>
          <cell r="G123">
            <v>10</v>
          </cell>
          <cell r="H123">
            <v>80</v>
          </cell>
          <cell r="I123">
            <v>8</v>
          </cell>
        </row>
        <row r="124">
          <cell r="C124" t="str">
            <v>S33105-016A0X</v>
          </cell>
          <cell r="D124" t="str">
            <v>BASE AUDIO A</v>
          </cell>
          <cell r="E124">
            <v>30</v>
          </cell>
          <cell r="F124" t="str">
            <v>T-008</v>
          </cell>
          <cell r="G124">
            <v>8</v>
          </cell>
          <cell r="H124">
            <v>32</v>
          </cell>
          <cell r="I124">
            <v>4</v>
          </cell>
        </row>
        <row r="125">
          <cell r="C125" t="str">
            <v>S33106-009A0X</v>
          </cell>
          <cell r="D125" t="str">
            <v>BASE CRUISE B</v>
          </cell>
          <cell r="E125">
            <v>30</v>
          </cell>
          <cell r="F125" t="str">
            <v>T-008</v>
          </cell>
          <cell r="G125">
            <v>8</v>
          </cell>
          <cell r="H125">
            <v>32</v>
          </cell>
          <cell r="I125">
            <v>4</v>
          </cell>
        </row>
        <row r="126">
          <cell r="C126" t="str">
            <v>S33107-005A0X</v>
          </cell>
          <cell r="D126" t="str">
            <v>BASE AUDIO B</v>
          </cell>
          <cell r="E126">
            <v>30</v>
          </cell>
          <cell r="F126" t="str">
            <v>T-008</v>
          </cell>
          <cell r="G126">
            <v>8</v>
          </cell>
          <cell r="H126">
            <v>32</v>
          </cell>
          <cell r="I126">
            <v>4</v>
          </cell>
        </row>
        <row r="127">
          <cell r="C127" t="str">
            <v>S13108-002A0X</v>
          </cell>
          <cell r="D127" t="str">
            <v>INSULATOR. CP WIPER RH</v>
          </cell>
          <cell r="E127">
            <v>24</v>
          </cell>
          <cell r="F127" t="str">
            <v>T-008</v>
          </cell>
          <cell r="G127">
            <v>8</v>
          </cell>
          <cell r="H127">
            <v>40</v>
          </cell>
          <cell r="I127">
            <v>5</v>
          </cell>
        </row>
        <row r="128">
          <cell r="C128" t="str">
            <v>S25026-003A0X</v>
          </cell>
          <cell r="D128" t="str">
            <v>INSULATOR CP MIRROR</v>
          </cell>
          <cell r="E128">
            <v>43</v>
          </cell>
          <cell r="F128" t="str">
            <v>T-008</v>
          </cell>
          <cell r="G128">
            <v>48</v>
          </cell>
          <cell r="H128">
            <v>240</v>
          </cell>
          <cell r="I128">
            <v>5</v>
          </cell>
        </row>
        <row r="129">
          <cell r="C129" t="str">
            <v>S25038-001A0X</v>
          </cell>
          <cell r="D129" t="str">
            <v>INSULATOR CP</v>
          </cell>
          <cell r="E129">
            <v>29</v>
          </cell>
          <cell r="F129" t="str">
            <v>T-008</v>
          </cell>
          <cell r="G129">
            <v>48</v>
          </cell>
          <cell r="H129">
            <v>240</v>
          </cell>
          <cell r="I129">
            <v>5</v>
          </cell>
        </row>
        <row r="130">
          <cell r="C130" t="str">
            <v>S41356-017</v>
          </cell>
          <cell r="D130" t="str">
            <v>INSULATOR-CP W.L</v>
          </cell>
          <cell r="E130"/>
          <cell r="F130" t="str">
            <v>U4-S10</v>
          </cell>
          <cell r="G130">
            <v>77</v>
          </cell>
          <cell r="H130">
            <v>616</v>
          </cell>
          <cell r="I130">
            <v>8</v>
          </cell>
        </row>
        <row r="131">
          <cell r="C131" t="str">
            <v>S41356-021</v>
          </cell>
          <cell r="D131" t="str">
            <v>CONNECTOR CP</v>
          </cell>
          <cell r="E131"/>
          <cell r="F131" t="str">
            <v>H-030</v>
          </cell>
          <cell r="G131">
            <v>40</v>
          </cell>
          <cell r="H131">
            <v>320</v>
          </cell>
          <cell r="I131">
            <v>8</v>
          </cell>
        </row>
        <row r="132">
          <cell r="C132" t="str">
            <v>14SW410464-00009X0</v>
          </cell>
          <cell r="D132" t="str">
            <v>PIN HEADER</v>
          </cell>
          <cell r="E132">
            <v>15</v>
          </cell>
          <cell r="F132" t="str">
            <v>H-030</v>
          </cell>
          <cell r="G132">
            <v>100</v>
          </cell>
          <cell r="H132">
            <v>400</v>
          </cell>
          <cell r="I132">
            <v>4</v>
          </cell>
        </row>
        <row r="133">
          <cell r="C133" t="str">
            <v>S21208-003</v>
          </cell>
          <cell r="D133" t="str">
            <v>INSULATOR-CP</v>
          </cell>
          <cell r="E133"/>
          <cell r="F133" t="str">
            <v>H-030</v>
          </cell>
          <cell r="G133">
            <v>20</v>
          </cell>
          <cell r="H133">
            <v>160</v>
          </cell>
          <cell r="I133">
            <v>8</v>
          </cell>
        </row>
        <row r="134">
          <cell r="C134" t="str">
            <v>14SW210274-00008X0</v>
          </cell>
          <cell r="D134" t="str">
            <v>INSULATOR CP MANUAL</v>
          </cell>
          <cell r="E134">
            <v>14</v>
          </cell>
          <cell r="F134" t="str">
            <v>T-008</v>
          </cell>
          <cell r="G134">
            <v>32</v>
          </cell>
          <cell r="H134">
            <v>224</v>
          </cell>
          <cell r="I134">
            <v>7</v>
          </cell>
        </row>
        <row r="135">
          <cell r="C135" t="str">
            <v>14SW220201-00010X0</v>
          </cell>
          <cell r="D135" t="str">
            <v>INSULATOR CP</v>
          </cell>
          <cell r="E135">
            <v>25</v>
          </cell>
          <cell r="F135">
            <v>10</v>
          </cell>
          <cell r="G135">
            <v>180</v>
          </cell>
          <cell r="H135">
            <v>900</v>
          </cell>
          <cell r="I135">
            <v>5</v>
          </cell>
        </row>
        <row r="136">
          <cell r="C136" t="str">
            <v>14SW311082-00006X0</v>
          </cell>
          <cell r="D136" t="str">
            <v>HOLDER, CP</v>
          </cell>
          <cell r="E136">
            <v>12.5</v>
          </cell>
          <cell r="F136">
            <v>63</v>
          </cell>
          <cell r="G136">
            <v>126</v>
          </cell>
          <cell r="H136">
            <v>882</v>
          </cell>
          <cell r="I136">
            <v>7</v>
          </cell>
        </row>
        <row r="137">
          <cell r="C137" t="str">
            <v>S31741-005A0X</v>
          </cell>
          <cell r="D137" t="str">
            <v>INSULATOR CP</v>
          </cell>
          <cell r="E137">
            <v>10</v>
          </cell>
          <cell r="F137">
            <v>63</v>
          </cell>
          <cell r="G137">
            <v>63</v>
          </cell>
          <cell r="H137">
            <v>441</v>
          </cell>
          <cell r="I137">
            <v>7</v>
          </cell>
        </row>
        <row r="138">
          <cell r="C138" t="str">
            <v>14SW210274-00013X0</v>
          </cell>
          <cell r="D138" t="str">
            <v>CONTACT CP</v>
          </cell>
          <cell r="E138">
            <v>12</v>
          </cell>
          <cell r="F138">
            <v>63</v>
          </cell>
          <cell r="G138">
            <v>126</v>
          </cell>
          <cell r="H138">
            <v>882</v>
          </cell>
          <cell r="I138">
            <v>7</v>
          </cell>
        </row>
        <row r="139">
          <cell r="C139" t="str">
            <v>14SW210274-00016X0</v>
          </cell>
          <cell r="D139" t="str">
            <v>INSULATOR CP, AUTO</v>
          </cell>
          <cell r="E139">
            <v>10</v>
          </cell>
          <cell r="F139">
            <v>63</v>
          </cell>
          <cell r="G139">
            <v>63</v>
          </cell>
          <cell r="H139">
            <v>630</v>
          </cell>
          <cell r="I139">
            <v>10</v>
          </cell>
        </row>
        <row r="140">
          <cell r="C140" t="str">
            <v>14SW311155-00003X0</v>
          </cell>
          <cell r="D140" t="str">
            <v>INSULATOR</v>
          </cell>
          <cell r="E140">
            <v>28</v>
          </cell>
          <cell r="F140" t="str">
            <v>T-008</v>
          </cell>
          <cell r="G140">
            <v>48</v>
          </cell>
          <cell r="H140">
            <v>384</v>
          </cell>
          <cell r="I140">
            <v>8</v>
          </cell>
        </row>
        <row r="141">
          <cell r="C141" t="str">
            <v>14SW220197-00005X0</v>
          </cell>
          <cell r="D141" t="str">
            <v>CONNECTOR CP</v>
          </cell>
          <cell r="E141">
            <v>25</v>
          </cell>
          <cell r="F141" t="str">
            <v>T-008</v>
          </cell>
          <cell r="G141">
            <v>40</v>
          </cell>
          <cell r="H141">
            <v>200</v>
          </cell>
          <cell r="I141">
            <v>5</v>
          </cell>
        </row>
        <row r="142">
          <cell r="C142" t="str">
            <v>14SW220197-00010X0</v>
          </cell>
          <cell r="D142" t="str">
            <v>PIN HEADER</v>
          </cell>
          <cell r="E142">
            <v>16</v>
          </cell>
          <cell r="F142" t="str">
            <v>T-008</v>
          </cell>
          <cell r="G142">
            <v>200</v>
          </cell>
          <cell r="H142">
            <v>800</v>
          </cell>
          <cell r="I142">
            <v>4</v>
          </cell>
        </row>
        <row r="143">
          <cell r="C143" t="str">
            <v>14SW311011-00003X0</v>
          </cell>
          <cell r="D143" t="str">
            <v>BASE CP</v>
          </cell>
          <cell r="E143">
            <v>40</v>
          </cell>
          <cell r="F143">
            <v>63</v>
          </cell>
          <cell r="G143">
            <v>126</v>
          </cell>
          <cell r="H143">
            <v>1008</v>
          </cell>
          <cell r="I143">
            <v>8</v>
          </cell>
        </row>
        <row r="144">
          <cell r="C144" t="str">
            <v>S12042-004A9X</v>
          </cell>
          <cell r="D144" t="str">
            <v>INSULATOR CP FOG RH</v>
          </cell>
          <cell r="E144">
            <v>14</v>
          </cell>
          <cell r="F144" t="str">
            <v>polybag</v>
          </cell>
          <cell r="G144">
            <v>250</v>
          </cell>
          <cell r="H144">
            <v>1000</v>
          </cell>
          <cell r="I144">
            <v>4</v>
          </cell>
        </row>
        <row r="145">
          <cell r="C145" t="str">
            <v>14SW250068-00002X0</v>
          </cell>
          <cell r="D145" t="str">
            <v>INSULATOR CP</v>
          </cell>
          <cell r="E145">
            <v>23</v>
          </cell>
          <cell r="F145" t="str">
            <v>T-008</v>
          </cell>
          <cell r="G145">
            <v>48</v>
          </cell>
          <cell r="H145">
            <v>240</v>
          </cell>
          <cell r="I145">
            <v>5</v>
          </cell>
        </row>
        <row r="146">
          <cell r="C146" t="str">
            <v>14SW250068-00003X0</v>
          </cell>
          <cell r="D146" t="str">
            <v>PIN HEADER</v>
          </cell>
          <cell r="E146">
            <v>30</v>
          </cell>
          <cell r="F146" t="str">
            <v>T-008</v>
          </cell>
          <cell r="G146">
            <v>200</v>
          </cell>
          <cell r="H146">
            <v>800</v>
          </cell>
          <cell r="I146">
            <v>4</v>
          </cell>
        </row>
        <row r="147">
          <cell r="C147" t="str">
            <v>14SW220201-00005X0</v>
          </cell>
          <cell r="D147" t="str">
            <v>CONNECTOR CP</v>
          </cell>
          <cell r="E147">
            <v>36</v>
          </cell>
          <cell r="F147" t="str">
            <v>T-008</v>
          </cell>
          <cell r="G147">
            <v>8</v>
          </cell>
          <cell r="H147">
            <v>40</v>
          </cell>
          <cell r="I147">
            <v>5</v>
          </cell>
        </row>
        <row r="148">
          <cell r="C148" t="str">
            <v>S21175-002A0X</v>
          </cell>
          <cell r="D148" t="str">
            <v>KNOB P/W AUTO</v>
          </cell>
          <cell r="E148">
            <v>25.7</v>
          </cell>
          <cell r="F148" t="str">
            <v>T-008</v>
          </cell>
          <cell r="G148">
            <v>104</v>
          </cell>
          <cell r="H148">
            <v>520</v>
          </cell>
          <cell r="I148">
            <v>5</v>
          </cell>
        </row>
        <row r="149">
          <cell r="C149" t="str">
            <v>14SW311038-00005X0</v>
          </cell>
          <cell r="D149" t="str">
            <v>BASE CP</v>
          </cell>
          <cell r="E149">
            <v>30</v>
          </cell>
          <cell r="F149">
            <v>63</v>
          </cell>
          <cell r="G149">
            <v>63</v>
          </cell>
          <cell r="H149">
            <v>444</v>
          </cell>
          <cell r="I149">
            <v>7.0476190476190474</v>
          </cell>
        </row>
        <row r="150">
          <cell r="C150" t="str">
            <v>14SW311156-00002X0</v>
          </cell>
          <cell r="D150" t="str">
            <v>INSULATOR</v>
          </cell>
          <cell r="E150">
            <v>28</v>
          </cell>
          <cell r="F150" t="str">
            <v>T-008</v>
          </cell>
          <cell r="G150">
            <v>48</v>
          </cell>
          <cell r="H150">
            <v>384</v>
          </cell>
          <cell r="I150">
            <v>8</v>
          </cell>
        </row>
        <row r="151">
          <cell r="C151" t="str">
            <v>14SW311101-00003X0</v>
          </cell>
          <cell r="D151" t="str">
            <v>BASE CP</v>
          </cell>
          <cell r="E151">
            <v>23</v>
          </cell>
          <cell r="F151">
            <v>63</v>
          </cell>
          <cell r="G151">
            <v>126</v>
          </cell>
          <cell r="H151">
            <v>1008</v>
          </cell>
          <cell r="I151">
            <v>8</v>
          </cell>
        </row>
        <row r="152">
          <cell r="C152" t="str">
            <v>14SW030081-00001X0</v>
          </cell>
          <cell r="D152" t="str">
            <v>COUPLER GUIDE</v>
          </cell>
          <cell r="E152">
            <v>45</v>
          </cell>
          <cell r="F152" t="str">
            <v>T-008</v>
          </cell>
          <cell r="G152">
            <v>64</v>
          </cell>
          <cell r="H152">
            <v>384</v>
          </cell>
          <cell r="I152">
            <v>6</v>
          </cell>
        </row>
        <row r="153">
          <cell r="C153" t="str">
            <v>14SW311082-00010X0</v>
          </cell>
          <cell r="D153" t="str">
            <v>INSULATOR</v>
          </cell>
          <cell r="E153">
            <v>40</v>
          </cell>
          <cell r="F153" t="str">
            <v>T-008</v>
          </cell>
          <cell r="G153">
            <v>48</v>
          </cell>
          <cell r="H153">
            <v>384</v>
          </cell>
          <cell r="I153">
            <v>8</v>
          </cell>
        </row>
        <row r="154">
          <cell r="C154" t="str">
            <v>14SW311083-00005X0</v>
          </cell>
          <cell r="D154" t="str">
            <v>INSULATOR CP</v>
          </cell>
          <cell r="E154">
            <v>28</v>
          </cell>
          <cell r="F154" t="str">
            <v>T-008</v>
          </cell>
          <cell r="G154">
            <v>48</v>
          </cell>
          <cell r="H154">
            <v>240</v>
          </cell>
          <cell r="I154">
            <v>5</v>
          </cell>
        </row>
        <row r="155">
          <cell r="C155" t="str">
            <v>14SW311084-00002X0</v>
          </cell>
          <cell r="D155" t="str">
            <v>INSULATOR CP</v>
          </cell>
          <cell r="E155">
            <v>80</v>
          </cell>
          <cell r="F155" t="str">
            <v>T-008</v>
          </cell>
          <cell r="G155">
            <v>48</v>
          </cell>
          <cell r="H155">
            <v>240</v>
          </cell>
          <cell r="I155">
            <v>5</v>
          </cell>
        </row>
        <row r="156">
          <cell r="C156" t="str">
            <v>14SW330127-00008X0</v>
          </cell>
          <cell r="D156" t="str">
            <v>BASE CRUISE A</v>
          </cell>
          <cell r="E156">
            <v>40</v>
          </cell>
          <cell r="F156">
            <v>10</v>
          </cell>
          <cell r="G156">
            <v>10</v>
          </cell>
          <cell r="H156">
            <v>80</v>
          </cell>
          <cell r="I156">
            <v>8</v>
          </cell>
        </row>
        <row r="157">
          <cell r="C157" t="str">
            <v>14SW250069-00001X0</v>
          </cell>
          <cell r="D157" t="str">
            <v>INSULATOR CP</v>
          </cell>
          <cell r="E157">
            <v>23</v>
          </cell>
          <cell r="F157" t="str">
            <v>T-008</v>
          </cell>
          <cell r="G157">
            <v>48</v>
          </cell>
          <cell r="H157">
            <v>240</v>
          </cell>
          <cell r="I157">
            <v>5</v>
          </cell>
        </row>
        <row r="158">
          <cell r="C158" t="str">
            <v>14SW250069-00002X0</v>
          </cell>
          <cell r="D158" t="str">
            <v>PIN HEADER</v>
          </cell>
          <cell r="E158">
            <v>25</v>
          </cell>
          <cell r="F158" t="str">
            <v>T-008</v>
          </cell>
          <cell r="G158">
            <v>200</v>
          </cell>
          <cell r="H158">
            <v>800</v>
          </cell>
          <cell r="I158">
            <v>4</v>
          </cell>
        </row>
        <row r="159">
          <cell r="C159" t="str">
            <v>S41356-021A0X</v>
          </cell>
          <cell r="D159" t="str">
            <v>CONNECTOR CP</v>
          </cell>
          <cell r="E159">
            <v>80</v>
          </cell>
          <cell r="F159">
            <v>10</v>
          </cell>
          <cell r="G159">
            <v>40</v>
          </cell>
          <cell r="H159">
            <v>320</v>
          </cell>
          <cell r="I159">
            <v>8</v>
          </cell>
        </row>
        <row r="160">
          <cell r="C160" t="str">
            <v>14SW311121-01002X0</v>
          </cell>
          <cell r="D160" t="str">
            <v>INSULATOR CP</v>
          </cell>
          <cell r="E160">
            <v>28</v>
          </cell>
          <cell r="F160" t="str">
            <v>T-008</v>
          </cell>
          <cell r="G160">
            <v>48</v>
          </cell>
          <cell r="H160">
            <v>240</v>
          </cell>
          <cell r="I160">
            <v>5</v>
          </cell>
        </row>
        <row r="161">
          <cell r="C161" t="str">
            <v>S21208-003A0X</v>
          </cell>
          <cell r="D161" t="str">
            <v>INSULATOR CP</v>
          </cell>
          <cell r="E161">
            <v>20</v>
          </cell>
          <cell r="F161" t="str">
            <v>T-008</v>
          </cell>
          <cell r="G161">
            <v>32</v>
          </cell>
          <cell r="H161">
            <v>224</v>
          </cell>
          <cell r="I161">
            <v>7</v>
          </cell>
        </row>
        <row r="162">
          <cell r="C162" t="str">
            <v>14SW311121-00004X0</v>
          </cell>
          <cell r="D162" t="str">
            <v>INSULATOR CP</v>
          </cell>
          <cell r="E162">
            <v>28</v>
          </cell>
          <cell r="F162" t="str">
            <v>T-008</v>
          </cell>
          <cell r="G162">
            <v>48</v>
          </cell>
          <cell r="H162">
            <v>240</v>
          </cell>
          <cell r="I162">
            <v>5</v>
          </cell>
        </row>
        <row r="163">
          <cell r="C163" t="str">
            <v>14SW030082-00001X0</v>
          </cell>
          <cell r="D163" t="str">
            <v>INSULATOR CP</v>
          </cell>
          <cell r="E163">
            <v>45</v>
          </cell>
          <cell r="F163" t="str">
            <v>T-008</v>
          </cell>
          <cell r="G163">
            <v>72</v>
          </cell>
          <cell r="H163">
            <v>288</v>
          </cell>
          <cell r="I163">
            <v>4</v>
          </cell>
        </row>
        <row r="164">
          <cell r="C164" t="str">
            <v>S11436-002A0X</v>
          </cell>
          <cell r="D164" t="str">
            <v>INSULATOR CP FOG RH</v>
          </cell>
          <cell r="E164">
            <v>15</v>
          </cell>
          <cell r="F164" t="str">
            <v>polybag</v>
          </cell>
          <cell r="G164">
            <v>250</v>
          </cell>
          <cell r="H164">
            <v>1000</v>
          </cell>
          <cell r="I164">
            <v>4</v>
          </cell>
        </row>
        <row r="165">
          <cell r="C165" t="str">
            <v>14SW311010-00003X0</v>
          </cell>
          <cell r="D165" t="str">
            <v>BASE CP</v>
          </cell>
          <cell r="E165">
            <v>40</v>
          </cell>
          <cell r="F165">
            <v>63</v>
          </cell>
          <cell r="G165">
            <v>126</v>
          </cell>
          <cell r="H165">
            <v>1008</v>
          </cell>
          <cell r="I165">
            <v>8</v>
          </cell>
        </row>
        <row r="166">
          <cell r="C166" t="str">
            <v>14SW110487-00002X0</v>
          </cell>
          <cell r="D166" t="str">
            <v>INSULATOR CP RR WIPER</v>
          </cell>
          <cell r="E166">
            <v>20</v>
          </cell>
          <cell r="F166" t="str">
            <v>Polybag</v>
          </cell>
          <cell r="G166">
            <v>250</v>
          </cell>
          <cell r="H166">
            <v>1000</v>
          </cell>
          <cell r="I166">
            <v>4</v>
          </cell>
        </row>
        <row r="167">
          <cell r="C167" t="str">
            <v>14SW110487-00009X0</v>
          </cell>
          <cell r="D167" t="str">
            <v>INSULATOR CP. WIPER RH</v>
          </cell>
          <cell r="E167">
            <v>24</v>
          </cell>
          <cell r="F167">
            <v>10</v>
          </cell>
          <cell r="G167">
            <v>20</v>
          </cell>
          <cell r="H167">
            <v>160</v>
          </cell>
          <cell r="I167">
            <v>8</v>
          </cell>
        </row>
        <row r="168">
          <cell r="C168" t="str">
            <v>14SW311058-00003X0</v>
          </cell>
          <cell r="D168" t="str">
            <v>INSULATOR CP</v>
          </cell>
          <cell r="E168">
            <v>30</v>
          </cell>
          <cell r="F168">
            <v>63</v>
          </cell>
          <cell r="G168">
            <v>63</v>
          </cell>
          <cell r="H168">
            <v>441</v>
          </cell>
          <cell r="I168">
            <v>7</v>
          </cell>
        </row>
        <row r="169">
          <cell r="C169" t="str">
            <v>S21042-001A0X</v>
          </cell>
          <cell r="D169" t="str">
            <v>Connector Cp.</v>
          </cell>
          <cell r="E169">
            <v>25</v>
          </cell>
          <cell r="F169" t="str">
            <v>T-008</v>
          </cell>
          <cell r="G169">
            <v>32</v>
          </cell>
          <cell r="H169">
            <v>192</v>
          </cell>
          <cell r="I169">
            <v>6</v>
          </cell>
        </row>
        <row r="170">
          <cell r="C170" t="str">
            <v>14SW310966-00002X0</v>
          </cell>
          <cell r="D170" t="str">
            <v>BASE CP</v>
          </cell>
          <cell r="E170">
            <v>22.5</v>
          </cell>
          <cell r="F170">
            <v>63</v>
          </cell>
          <cell r="G170">
            <v>63</v>
          </cell>
          <cell r="H170">
            <v>441</v>
          </cell>
          <cell r="I170">
            <v>7</v>
          </cell>
        </row>
        <row r="171">
          <cell r="C171" t="str">
            <v>S31851-002A0X</v>
          </cell>
          <cell r="D171" t="str">
            <v>BASE CP</v>
          </cell>
          <cell r="E171">
            <v>9</v>
          </cell>
          <cell r="F171" t="str">
            <v>T-008</v>
          </cell>
          <cell r="G171">
            <v>40</v>
          </cell>
          <cell r="H171">
            <v>320</v>
          </cell>
          <cell r="I171">
            <v>8</v>
          </cell>
        </row>
        <row r="172">
          <cell r="C172" t="str">
            <v>S13071-008A0X</v>
          </cell>
          <cell r="D172" t="str">
            <v>Insulator CP Wiper LH</v>
          </cell>
          <cell r="E172">
            <v>40</v>
          </cell>
          <cell r="F172" t="str">
            <v>Bin</v>
          </cell>
          <cell r="G172">
            <v>90</v>
          </cell>
          <cell r="H172">
            <v>90</v>
          </cell>
          <cell r="I172">
            <v>1</v>
          </cell>
        </row>
        <row r="173">
          <cell r="C173" t="str">
            <v>S03044-002A0X</v>
          </cell>
          <cell r="D173" t="str">
            <v>Insulator A</v>
          </cell>
          <cell r="E173">
            <v>45</v>
          </cell>
          <cell r="F173" t="str">
            <v>T-008</v>
          </cell>
          <cell r="G173">
            <v>96</v>
          </cell>
          <cell r="H173">
            <v>480</v>
          </cell>
          <cell r="I173">
            <v>5</v>
          </cell>
        </row>
        <row r="174">
          <cell r="C174" t="str">
            <v>S03044-005A0X</v>
          </cell>
          <cell r="D174" t="str">
            <v>Insulator B</v>
          </cell>
          <cell r="E174">
            <v>40</v>
          </cell>
          <cell r="F174" t="str">
            <v>Polybag</v>
          </cell>
          <cell r="G174">
            <v>250</v>
          </cell>
          <cell r="H174">
            <v>500</v>
          </cell>
          <cell r="I174">
            <v>2</v>
          </cell>
        </row>
        <row r="175">
          <cell r="C175" t="str">
            <v>S21121-016A0X</v>
          </cell>
          <cell r="D175" t="str">
            <v>BASE DR</v>
          </cell>
          <cell r="E175">
            <v>24</v>
          </cell>
          <cell r="F175" t="str">
            <v>Polybag</v>
          </cell>
          <cell r="G175">
            <v>250</v>
          </cell>
          <cell r="H175">
            <v>500</v>
          </cell>
          <cell r="I175">
            <v>2</v>
          </cell>
        </row>
        <row r="176">
          <cell r="C176" t="str">
            <v>S21121-029A0X</v>
          </cell>
          <cell r="D176" t="str">
            <v>TERMINAL M</v>
          </cell>
          <cell r="E176">
            <v>30</v>
          </cell>
          <cell r="F176" t="str">
            <v>Polybag</v>
          </cell>
          <cell r="G176">
            <v>250</v>
          </cell>
          <cell r="H176">
            <v>500</v>
          </cell>
          <cell r="I176">
            <v>2</v>
          </cell>
        </row>
        <row r="177">
          <cell r="C177" t="str">
            <v>S12113-001A0X</v>
          </cell>
          <cell r="D177" t="str">
            <v>INSULATOR CP TURN DIMMER &amp; LIGHT LH</v>
          </cell>
          <cell r="E177">
            <v>50</v>
          </cell>
          <cell r="F177" t="str">
            <v>Polybag</v>
          </cell>
          <cell r="G177">
            <v>16</v>
          </cell>
          <cell r="H177">
            <v>128</v>
          </cell>
          <cell r="I177">
            <v>8</v>
          </cell>
        </row>
        <row r="178">
          <cell r="C178"/>
          <cell r="D178"/>
          <cell r="E178"/>
          <cell r="F178"/>
          <cell r="G178"/>
          <cell r="H178"/>
          <cell r="I178"/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sheet"/>
      <sheetName val="MP-01"/>
      <sheetName val="MP-07"/>
      <sheetName val="MP-15"/>
      <sheetName val="MP-17"/>
      <sheetName val="MP-14"/>
      <sheetName val="MP-03"/>
      <sheetName val="MP-04"/>
      <sheetName val="MP-11"/>
      <sheetName val="MP-12"/>
      <sheetName val="MP-16"/>
      <sheetName val="MP-10"/>
      <sheetName val="MP-09"/>
      <sheetName val="MP-08"/>
      <sheetName val="MP-05"/>
      <sheetName val="MP-13"/>
    </sheetNames>
    <sheetDataSet>
      <sheetData sheetId="0">
        <row r="1">
          <cell r="B1" t="str">
            <v>Part No.</v>
          </cell>
          <cell r="C1" t="str">
            <v>Description</v>
          </cell>
          <cell r="D1" t="str">
            <v>Machine No.</v>
          </cell>
          <cell r="E1" t="str">
            <v>PLAN</v>
          </cell>
          <cell r="F1" t="str">
            <v>Machine by DATA</v>
          </cell>
          <cell r="G1" t="str">
            <v>Color</v>
          </cell>
        </row>
        <row r="2">
          <cell r="B2" t="str">
            <v>14SW030081-00001X0</v>
          </cell>
          <cell r="C2" t="str">
            <v>COUPLER GUIDE</v>
          </cell>
          <cell r="D2" t="str">
            <v>M.P-01</v>
          </cell>
          <cell r="E2">
            <v>895.25806451612902</v>
          </cell>
          <cell r="F2" t="str">
            <v>INJ.MOULD. M/C V</v>
          </cell>
          <cell r="G2" t="str">
            <v>White</v>
          </cell>
        </row>
        <row r="3">
          <cell r="B3" t="str">
            <v>S11434-002A0X</v>
          </cell>
          <cell r="C3" t="str">
            <v>INSULATOR CP LIGHT RH</v>
          </cell>
          <cell r="D3" t="str">
            <v>M.P-01</v>
          </cell>
          <cell r="E3">
            <v>563.51612903225805</v>
          </cell>
          <cell r="F3" t="str">
            <v>INJ.MOULD. M/C V</v>
          </cell>
          <cell r="G3" t="str">
            <v>White</v>
          </cell>
        </row>
        <row r="4">
          <cell r="B4" t="str">
            <v>S41354-011A0X</v>
          </cell>
          <cell r="C4" t="str">
            <v>INSULATOR CP</v>
          </cell>
          <cell r="D4" t="str">
            <v>M.P-01</v>
          </cell>
          <cell r="E4">
            <v>1768.8387096774195</v>
          </cell>
          <cell r="F4" t="str">
            <v>INJ.MOULD. M/C V</v>
          </cell>
          <cell r="G4" t="str">
            <v>White</v>
          </cell>
        </row>
        <row r="5">
          <cell r="B5" t="str">
            <v>S21114-005A0X</v>
          </cell>
          <cell r="C5" t="str">
            <v>INSULATOR CP.</v>
          </cell>
          <cell r="D5" t="str">
            <v>M.P-01</v>
          </cell>
          <cell r="E5" t="e">
            <v>#N/A</v>
          </cell>
          <cell r="F5" t="e">
            <v>#N/A</v>
          </cell>
          <cell r="G5" t="str">
            <v>White</v>
          </cell>
        </row>
        <row r="6">
          <cell r="B6" t="str">
            <v>S21077-008A0X</v>
          </cell>
          <cell r="C6" t="str">
            <v>INSULATOR CP</v>
          </cell>
          <cell r="D6" t="str">
            <v>M.P-01</v>
          </cell>
          <cell r="E6" t="e">
            <v>#N/A</v>
          </cell>
          <cell r="F6" t="e">
            <v>#N/A</v>
          </cell>
          <cell r="G6" t="str">
            <v>White</v>
          </cell>
        </row>
        <row r="7">
          <cell r="B7" t="str">
            <v>S12094-003A0X</v>
          </cell>
          <cell r="C7" t="str">
            <v>INSULATOR CP. TURN, DIMMER &amp; LIGHT RH</v>
          </cell>
          <cell r="D7" t="str">
            <v>M.P-01</v>
          </cell>
          <cell r="E7">
            <v>15.677419354838708</v>
          </cell>
          <cell r="F7" t="str">
            <v>INJ.MOULD. M/C V</v>
          </cell>
          <cell r="G7" t="str">
            <v>White</v>
          </cell>
        </row>
        <row r="8">
          <cell r="B8" t="str">
            <v>S12071-001A0X</v>
          </cell>
          <cell r="C8" t="str">
            <v>Ins. CP Turn. Dimmer &amp; Light LH</v>
          </cell>
          <cell r="D8" t="str">
            <v>M.P-01</v>
          </cell>
          <cell r="E8">
            <v>31.354838709677416</v>
          </cell>
          <cell r="F8" t="str">
            <v>INJ.MOULD. M/C V</v>
          </cell>
          <cell r="G8" t="str">
            <v>White</v>
          </cell>
        </row>
        <row r="9">
          <cell r="B9" t="str">
            <v>S21028-002A0X</v>
          </cell>
          <cell r="C9" t="str">
            <v>Insulator</v>
          </cell>
          <cell r="D9" t="str">
            <v>M.P-01</v>
          </cell>
          <cell r="E9" t="e">
            <v>#N/A</v>
          </cell>
          <cell r="F9" t="e">
            <v>#N/A</v>
          </cell>
          <cell r="G9" t="str">
            <v>White</v>
          </cell>
        </row>
        <row r="10">
          <cell r="B10" t="str">
            <v>S12113-001A0X</v>
          </cell>
          <cell r="C10" t="str">
            <v>INSULATOR CP TURN DIMMER &amp; LIGHT LH</v>
          </cell>
          <cell r="D10" t="str">
            <v>M.P-01</v>
          </cell>
          <cell r="E10">
            <v>3.67741935483871</v>
          </cell>
          <cell r="F10" t="str">
            <v>INJ.MOULD. M/C V</v>
          </cell>
          <cell r="G10" t="e">
            <v>#N/A</v>
          </cell>
        </row>
        <row r="11">
          <cell r="B11" t="str">
            <v>S21021-012A0X</v>
          </cell>
          <cell r="C11" t="str">
            <v>Insulator Cp</v>
          </cell>
          <cell r="D11" t="str">
            <v>M.P-01</v>
          </cell>
          <cell r="E11">
            <v>604.0645161290322</v>
          </cell>
          <cell r="F11" t="str">
            <v>INJ.MOULD. M/C V</v>
          </cell>
          <cell r="G11" t="str">
            <v>White</v>
          </cell>
        </row>
        <row r="12">
          <cell r="B12" t="str">
            <v>S31841-008A0X</v>
          </cell>
          <cell r="C12" t="str">
            <v>PIN HEADER</v>
          </cell>
          <cell r="D12" t="str">
            <v>M.P-03</v>
          </cell>
          <cell r="E12">
            <v>745.64516129032268</v>
          </cell>
          <cell r="F12" t="str">
            <v>INJ.MOULD. M/C V</v>
          </cell>
          <cell r="G12" t="str">
            <v>Black</v>
          </cell>
        </row>
        <row r="13">
          <cell r="B13" t="str">
            <v>S31867-002A0X</v>
          </cell>
          <cell r="C13" t="str">
            <v>BASE CP</v>
          </cell>
          <cell r="D13" t="str">
            <v>M.P-03</v>
          </cell>
          <cell r="E13">
            <v>762.87096774193549</v>
          </cell>
          <cell r="F13" t="str">
            <v>INJ.MOULD. M/C V</v>
          </cell>
          <cell r="G13" t="str">
            <v>Black</v>
          </cell>
        </row>
        <row r="14">
          <cell r="B14" t="str">
            <v>S31838-004A0X</v>
          </cell>
          <cell r="C14" t="str">
            <v>BASE CP</v>
          </cell>
          <cell r="D14" t="str">
            <v>M.P-03</v>
          </cell>
          <cell r="E14">
            <v>183.87096774193549</v>
          </cell>
          <cell r="F14" t="str">
            <v>INJ.MOULD. M/C V</v>
          </cell>
          <cell r="G14" t="str">
            <v>Black</v>
          </cell>
        </row>
        <row r="15">
          <cell r="B15" t="str">
            <v>S31842-004A0X</v>
          </cell>
          <cell r="C15" t="str">
            <v>BASE CP</v>
          </cell>
          <cell r="D15" t="str">
            <v>M.P-03</v>
          </cell>
          <cell r="E15">
            <v>86.516129032258064</v>
          </cell>
          <cell r="F15" t="str">
            <v>INJ.MOULD. M/C V</v>
          </cell>
          <cell r="G15" t="str">
            <v>Black</v>
          </cell>
        </row>
        <row r="16">
          <cell r="B16" t="str">
            <v>S31839-004A0X</v>
          </cell>
          <cell r="C16" t="str">
            <v>BASE CP</v>
          </cell>
          <cell r="D16" t="str">
            <v>M.P-03</v>
          </cell>
          <cell r="E16">
            <v>190.64516129032256</v>
          </cell>
          <cell r="F16" t="str">
            <v>INJ.MOULD. M/C V</v>
          </cell>
          <cell r="G16" t="str">
            <v>Black</v>
          </cell>
        </row>
        <row r="17">
          <cell r="B17" t="str">
            <v>S22166-013A0X</v>
          </cell>
          <cell r="C17" t="str">
            <v>HOLDER INTR CP</v>
          </cell>
          <cell r="D17" t="str">
            <v>M.P-03</v>
          </cell>
          <cell r="E17">
            <v>248.0322580645161</v>
          </cell>
          <cell r="F17" t="str">
            <v>INJ.MOULD. M/C V</v>
          </cell>
          <cell r="G17" t="str">
            <v>Black</v>
          </cell>
        </row>
        <row r="18">
          <cell r="B18" t="str">
            <v>S41222-022</v>
          </cell>
          <cell r="C18" t="str">
            <v>BASE CP</v>
          </cell>
          <cell r="D18" t="str">
            <v>M.P-03</v>
          </cell>
          <cell r="E18" t="e">
            <v>#N/A</v>
          </cell>
          <cell r="F18" t="e">
            <v>#N/A</v>
          </cell>
          <cell r="G18" t="e">
            <v>#N/A</v>
          </cell>
        </row>
        <row r="19">
          <cell r="B19" t="str">
            <v>M41035-032A0X</v>
          </cell>
          <cell r="C19" t="str">
            <v>BASE CP</v>
          </cell>
          <cell r="D19" t="str">
            <v>M.P-03</v>
          </cell>
          <cell r="E19" t="e">
            <v>#N/A</v>
          </cell>
          <cell r="F19" t="e">
            <v>#N/A</v>
          </cell>
          <cell r="G19" t="str">
            <v>Black</v>
          </cell>
        </row>
        <row r="20">
          <cell r="B20" t="str">
            <v>14SW311082-00006X0</v>
          </cell>
          <cell r="C20" t="str">
            <v>HOLDER, CP</v>
          </cell>
          <cell r="D20" t="str">
            <v>M.P-03</v>
          </cell>
          <cell r="E20">
            <v>6125.4193548387093</v>
          </cell>
          <cell r="F20" t="str">
            <v>INJ.MOULD. M/C V</v>
          </cell>
          <cell r="G20" t="str">
            <v>Black</v>
          </cell>
        </row>
        <row r="21">
          <cell r="B21" t="str">
            <v>S31741-005A0X</v>
          </cell>
          <cell r="C21" t="str">
            <v>INSULATOR CP</v>
          </cell>
          <cell r="D21" t="str">
            <v>M.P-03</v>
          </cell>
          <cell r="E21">
            <v>5535.5806451612907</v>
          </cell>
          <cell r="F21" t="str">
            <v>INJ.MOULD. M/C V</v>
          </cell>
          <cell r="G21" t="str">
            <v>Black</v>
          </cell>
        </row>
        <row r="22">
          <cell r="B22" t="str">
            <v>14SW311144-00003X0</v>
          </cell>
          <cell r="C22" t="str">
            <v>INSULATOR CP</v>
          </cell>
          <cell r="D22" t="str">
            <v>M.P-03</v>
          </cell>
          <cell r="E22">
            <v>534</v>
          </cell>
          <cell r="F22" t="str">
            <v>INJ.MOULD. M/C JSW-55T</v>
          </cell>
          <cell r="G22" t="e">
            <v>#N/A</v>
          </cell>
        </row>
        <row r="23">
          <cell r="B23" t="str">
            <v>S31868-005A0X</v>
          </cell>
          <cell r="C23" t="str">
            <v>BASE CP</v>
          </cell>
          <cell r="D23" t="str">
            <v>M.P-03</v>
          </cell>
          <cell r="E23">
            <v>53.612903225806448</v>
          </cell>
          <cell r="F23" t="str">
            <v>INJ.MOULD. M/C V</v>
          </cell>
          <cell r="G23" t="str">
            <v>Black</v>
          </cell>
        </row>
        <row r="24">
          <cell r="B24" t="str">
            <v>14SW311038-00005X0</v>
          </cell>
          <cell r="C24" t="str">
            <v>BASE CP</v>
          </cell>
          <cell r="D24" t="str">
            <v>M.P-03</v>
          </cell>
          <cell r="E24">
            <v>1178.7096774193546</v>
          </cell>
          <cell r="F24" t="str">
            <v>INJ.MOULD. M/C V</v>
          </cell>
          <cell r="G24" t="str">
            <v>Black</v>
          </cell>
        </row>
        <row r="25">
          <cell r="B25" t="str">
            <v>14SW410464-00009X0</v>
          </cell>
          <cell r="C25" t="str">
            <v>PIN HEADER</v>
          </cell>
          <cell r="D25" t="str">
            <v>M.P-03</v>
          </cell>
          <cell r="E25">
            <v>1870.2580645161288</v>
          </cell>
          <cell r="F25" t="str">
            <v>INJ.MOULD. M/C V</v>
          </cell>
          <cell r="G25" t="str">
            <v>Black</v>
          </cell>
        </row>
        <row r="26">
          <cell r="B26" t="str">
            <v>S11398-016A0X</v>
          </cell>
          <cell r="C26" t="str">
            <v>HOLDER CP CONTACT DIM &amp; WASH</v>
          </cell>
          <cell r="D26" t="str">
            <v>M.P-04</v>
          </cell>
          <cell r="E26">
            <v>1383.0967741935485</v>
          </cell>
          <cell r="F26" t="str">
            <v>INJ.MOULD. M/C V</v>
          </cell>
          <cell r="G26" t="str">
            <v>White</v>
          </cell>
        </row>
        <row r="27">
          <cell r="B27" t="str">
            <v>S11398-017A0X</v>
          </cell>
          <cell r="C27" t="str">
            <v>HOLDER CP CONTACT LIGHT</v>
          </cell>
          <cell r="D27" t="str">
            <v>M.P-04</v>
          </cell>
          <cell r="E27">
            <v>693.48387096774195</v>
          </cell>
          <cell r="F27" t="str">
            <v>INJ.MOULD. M/C V</v>
          </cell>
          <cell r="G27" t="str">
            <v>White</v>
          </cell>
        </row>
        <row r="28">
          <cell r="B28" t="str">
            <v>14SW311082-00006X0</v>
          </cell>
          <cell r="C28" t="str">
            <v>HOLDER, CP</v>
          </cell>
          <cell r="D28" t="str">
            <v>M.P-04</v>
          </cell>
          <cell r="E28">
            <v>6125.4193548387093</v>
          </cell>
          <cell r="F28" t="str">
            <v>INJ.MOULD. M/C V</v>
          </cell>
          <cell r="G28" t="str">
            <v>Black</v>
          </cell>
        </row>
        <row r="29">
          <cell r="B29" t="str">
            <v>14SW210274-00013X0</v>
          </cell>
          <cell r="C29" t="str">
            <v>CONTACT CP</v>
          </cell>
          <cell r="D29" t="str">
            <v>M.P-04</v>
          </cell>
          <cell r="E29">
            <v>7373.2258064516118</v>
          </cell>
          <cell r="F29" t="str">
            <v>INJ.MOULD. M/C V</v>
          </cell>
          <cell r="G29" t="str">
            <v>White</v>
          </cell>
        </row>
        <row r="30">
          <cell r="B30" t="str">
            <v>S41356-021A0X</v>
          </cell>
          <cell r="C30" t="str">
            <v>CONNECTOR CP</v>
          </cell>
          <cell r="D30" t="str">
            <v>M.P-04</v>
          </cell>
          <cell r="E30">
            <v>368.32258064516134</v>
          </cell>
          <cell r="F30" t="str">
            <v>INJ.MOULD. M/C V</v>
          </cell>
          <cell r="G30" t="str">
            <v>White</v>
          </cell>
        </row>
        <row r="31">
          <cell r="B31" t="str">
            <v>14SW210274-00016X0</v>
          </cell>
          <cell r="C31" t="str">
            <v>INSULATOR CP, AUTO</v>
          </cell>
          <cell r="D31" t="str">
            <v>M.P-04</v>
          </cell>
          <cell r="E31">
            <v>7373.2258064516118</v>
          </cell>
          <cell r="F31" t="str">
            <v>INJ.MOULD. M/C V</v>
          </cell>
          <cell r="G31" t="str">
            <v>White</v>
          </cell>
        </row>
        <row r="32">
          <cell r="B32" t="str">
            <v>S21028-002A0X</v>
          </cell>
          <cell r="C32" t="str">
            <v>Insulator</v>
          </cell>
          <cell r="D32" t="str">
            <v>M.P-04</v>
          </cell>
          <cell r="E32" t="e">
            <v>#N/A</v>
          </cell>
          <cell r="F32" t="e">
            <v>#N/A</v>
          </cell>
          <cell r="G32" t="str">
            <v>White</v>
          </cell>
        </row>
        <row r="33">
          <cell r="B33" t="str">
            <v>14SW311011-00003X0</v>
          </cell>
          <cell r="C33" t="str">
            <v>BASE CP</v>
          </cell>
          <cell r="D33" t="str">
            <v>M.P-04</v>
          </cell>
          <cell r="E33">
            <v>1276.258064516129</v>
          </cell>
          <cell r="F33" t="str">
            <v>INJ.MOULD. M/C V</v>
          </cell>
          <cell r="G33" t="str">
            <v>Blue</v>
          </cell>
        </row>
        <row r="34">
          <cell r="B34" t="str">
            <v>S22085-002</v>
          </cell>
          <cell r="C34" t="str">
            <v>Insulator</v>
          </cell>
          <cell r="D34" t="str">
            <v>M.P-04</v>
          </cell>
          <cell r="E34" t="e">
            <v>#N/A</v>
          </cell>
          <cell r="F34" t="e">
            <v>#N/A</v>
          </cell>
          <cell r="G34" t="e">
            <v>#N/A</v>
          </cell>
        </row>
        <row r="35">
          <cell r="B35" t="str">
            <v>S33105-017A0X</v>
          </cell>
          <cell r="C35" t="str">
            <v>TERMINAL COMP</v>
          </cell>
          <cell r="D35" t="str">
            <v>M.P-04</v>
          </cell>
          <cell r="E35">
            <v>4302</v>
          </cell>
          <cell r="F35" t="str">
            <v>INJ.MOULD. M/C V</v>
          </cell>
          <cell r="G35" t="str">
            <v>Black</v>
          </cell>
        </row>
        <row r="36">
          <cell r="B36" t="str">
            <v>S32073-012A0X</v>
          </cell>
          <cell r="C36" t="str">
            <v>Ter. Guide</v>
          </cell>
          <cell r="D36" t="str">
            <v>M.P-04</v>
          </cell>
          <cell r="E36">
            <v>522.58064516129025</v>
          </cell>
          <cell r="F36" t="str">
            <v>INJ.MOULD. M/C(YUDEK)V</v>
          </cell>
          <cell r="G36" t="str">
            <v>White</v>
          </cell>
        </row>
        <row r="37">
          <cell r="B37" t="str">
            <v>14SW311101-00003X0</v>
          </cell>
          <cell r="C37" t="str">
            <v>BASE CP</v>
          </cell>
          <cell r="D37" t="str">
            <v>M.P-04</v>
          </cell>
          <cell r="E37">
            <v>730.9354838709678</v>
          </cell>
          <cell r="F37" t="str">
            <v>INJ.MOULD. M/C V</v>
          </cell>
          <cell r="G37" t="str">
            <v>White</v>
          </cell>
        </row>
        <row r="38">
          <cell r="B38" t="str">
            <v>14SW030082-00001X0</v>
          </cell>
          <cell r="C38" t="str">
            <v>INSULATOR CP</v>
          </cell>
          <cell r="D38" t="str">
            <v>M.P-05</v>
          </cell>
          <cell r="E38">
            <v>479.70967741935488</v>
          </cell>
          <cell r="F38" t="str">
            <v>INJ.MOULD. M/C V</v>
          </cell>
          <cell r="G38" t="str">
            <v>Black</v>
          </cell>
        </row>
        <row r="39">
          <cell r="B39" t="str">
            <v>S13083-003A0X</v>
          </cell>
          <cell r="C39" t="str">
            <v>INSULATOR CP WIPER LH</v>
          </cell>
          <cell r="D39" t="str">
            <v>M.P-05</v>
          </cell>
          <cell r="E39">
            <v>2579.6129032258063</v>
          </cell>
          <cell r="F39" t="str">
            <v>INJ.MOULD. M/C V</v>
          </cell>
          <cell r="G39" t="str">
            <v>Black</v>
          </cell>
        </row>
        <row r="40">
          <cell r="B40" t="str">
            <v>S12095-004A0X</v>
          </cell>
          <cell r="C40" t="str">
            <v>INSULATOR CP,TURN DIMMER &amp; LIGHT,LH</v>
          </cell>
          <cell r="D40" t="str">
            <v>M.P-05</v>
          </cell>
          <cell r="E40">
            <v>1420.258064516129</v>
          </cell>
          <cell r="F40" t="str">
            <v>INJ.MOULD. M/C V</v>
          </cell>
          <cell r="G40" t="str">
            <v>Black</v>
          </cell>
        </row>
        <row r="41">
          <cell r="B41" t="str">
            <v>S22063-003A0X</v>
          </cell>
          <cell r="C41" t="str">
            <v>Insulator CP</v>
          </cell>
          <cell r="D41" t="str">
            <v>M.P-05</v>
          </cell>
          <cell r="E41" t="e">
            <v>#N/A</v>
          </cell>
          <cell r="F41" t="e">
            <v>#N/A</v>
          </cell>
          <cell r="G41" t="e">
            <v>#N/A</v>
          </cell>
        </row>
        <row r="42">
          <cell r="B42" t="str">
            <v>S13108-002A0X</v>
          </cell>
          <cell r="C42" t="str">
            <v>INSULATOR. CP WIPER RH</v>
          </cell>
          <cell r="D42" t="str">
            <v>M.P-05</v>
          </cell>
          <cell r="E42">
            <v>15621.096774193549</v>
          </cell>
          <cell r="F42" t="str">
            <v>INJ.MOULD. M/C(</v>
          </cell>
          <cell r="G42" t="str">
            <v>Black</v>
          </cell>
        </row>
        <row r="43">
          <cell r="B43" t="str">
            <v>14SW220197-00005X0</v>
          </cell>
          <cell r="C43" t="str">
            <v>CONNECTOR CP</v>
          </cell>
          <cell r="D43" t="str">
            <v>M.P-05</v>
          </cell>
          <cell r="E43">
            <v>2359.8387096774195</v>
          </cell>
          <cell r="F43" t="str">
            <v>INJ.MOULD. M/C V</v>
          </cell>
          <cell r="G43" t="str">
            <v>Black</v>
          </cell>
        </row>
        <row r="44">
          <cell r="B44" t="str">
            <v>S31437-004A0X</v>
          </cell>
          <cell r="C44" t="str">
            <v>INSULATOR CP</v>
          </cell>
          <cell r="D44" t="str">
            <v>M.P-07</v>
          </cell>
          <cell r="E44">
            <v>6278.6129032258068</v>
          </cell>
          <cell r="F44" t="str">
            <v>INJ.MOULD. M/C V</v>
          </cell>
          <cell r="G44" t="str">
            <v>Black</v>
          </cell>
        </row>
        <row r="45">
          <cell r="B45" t="str">
            <v>S12095-003A0X</v>
          </cell>
          <cell r="C45" t="str">
            <v>CONTACT CP, DIMMER, LH</v>
          </cell>
          <cell r="D45" t="str">
            <v>M.P-07</v>
          </cell>
          <cell r="E45">
            <v>2537.2258064516127</v>
          </cell>
          <cell r="F45" t="str">
            <v>INJ.MOULD. M/C V</v>
          </cell>
          <cell r="G45" t="str">
            <v>Black</v>
          </cell>
        </row>
        <row r="46">
          <cell r="B46" t="str">
            <v>S12095-011A0X</v>
          </cell>
          <cell r="C46" t="str">
            <v>CONTACT CP, LIGHT</v>
          </cell>
          <cell r="D46" t="str">
            <v>M.P-07</v>
          </cell>
          <cell r="E46">
            <v>2131.8387096774195</v>
          </cell>
          <cell r="F46" t="str">
            <v>INJ.MOULD. M/C V</v>
          </cell>
          <cell r="G46" t="str">
            <v>Black</v>
          </cell>
        </row>
        <row r="47">
          <cell r="B47" t="str">
            <v>S31842-004A0X</v>
          </cell>
          <cell r="C47" t="str">
            <v>BASE CP</v>
          </cell>
          <cell r="D47" t="str">
            <v>M.P-07</v>
          </cell>
          <cell r="E47">
            <v>86.516129032258064</v>
          </cell>
          <cell r="F47" t="str">
            <v>INJ.MOULD. M/C V</v>
          </cell>
          <cell r="G47" t="str">
            <v>Black</v>
          </cell>
        </row>
        <row r="48">
          <cell r="B48" t="str">
            <v>S13123-002A0X</v>
          </cell>
          <cell r="C48" t="str">
            <v>INSULATOR CP RR WIPER LH</v>
          </cell>
          <cell r="D48" t="str">
            <v>M.P-07</v>
          </cell>
          <cell r="E48">
            <v>499.45161290322574</v>
          </cell>
          <cell r="F48" t="str">
            <v>INJ.MOULD. M/C V</v>
          </cell>
          <cell r="G48" t="str">
            <v>Black</v>
          </cell>
        </row>
        <row r="49">
          <cell r="B49" t="str">
            <v>S13112-006A0X</v>
          </cell>
          <cell r="C49" t="str">
            <v>INSULATOR CP, RR WIPER, RH</v>
          </cell>
          <cell r="D49" t="str">
            <v>M.P-07</v>
          </cell>
          <cell r="E49">
            <v>2805.483870967742</v>
          </cell>
          <cell r="F49" t="str">
            <v>INJ.MOULD. M/C V</v>
          </cell>
          <cell r="G49" t="str">
            <v>Black</v>
          </cell>
        </row>
        <row r="50">
          <cell r="B50" t="str">
            <v>S13052-005A0X</v>
          </cell>
          <cell r="C50" t="str">
            <v>CONTACT CP.RR.WI</v>
          </cell>
          <cell r="D50" t="str">
            <v>M.P-07</v>
          </cell>
          <cell r="E50">
            <v>488.80645161290323</v>
          </cell>
          <cell r="F50" t="str">
            <v>INJ.MOULD. M/C V</v>
          </cell>
          <cell r="G50" t="e">
            <v>#N/A</v>
          </cell>
        </row>
        <row r="51">
          <cell r="B51" t="str">
            <v>S13083-011A0X</v>
          </cell>
          <cell r="C51" t="str">
            <v>INSULATOR CP,RR WIPER,LH</v>
          </cell>
          <cell r="D51" t="str">
            <v>M.P-07</v>
          </cell>
          <cell r="E51">
            <v>1594.0645161290322</v>
          </cell>
          <cell r="F51" t="str">
            <v>INJ.MOULD. M/C V</v>
          </cell>
          <cell r="G51" t="str">
            <v>Black</v>
          </cell>
        </row>
        <row r="52">
          <cell r="B52" t="str">
            <v>14SW220197-00010X0</v>
          </cell>
          <cell r="C52" t="str">
            <v>PIN HEADER</v>
          </cell>
          <cell r="D52" t="str">
            <v>M.P-07</v>
          </cell>
          <cell r="E52">
            <v>2359.8387096774195</v>
          </cell>
          <cell r="F52" t="str">
            <v>INJ.MOULD. M/C V</v>
          </cell>
          <cell r="G52" t="str">
            <v>Black</v>
          </cell>
        </row>
        <row r="53">
          <cell r="B53" t="str">
            <v>14SW311082-00006X0</v>
          </cell>
          <cell r="C53" t="str">
            <v>HOLDER, CP</v>
          </cell>
          <cell r="D53" t="str">
            <v>M.P-07</v>
          </cell>
          <cell r="E53">
            <v>6125.4193548387093</v>
          </cell>
          <cell r="F53" t="str">
            <v>INJ.MOULD. M/C V</v>
          </cell>
          <cell r="G53" t="str">
            <v>Black</v>
          </cell>
        </row>
        <row r="54">
          <cell r="B54" t="str">
            <v>S12091-001A0X</v>
          </cell>
          <cell r="C54" t="str">
            <v>INSULATOR CP, FOG, LH</v>
          </cell>
          <cell r="D54" t="str">
            <v>M.P-07</v>
          </cell>
          <cell r="E54">
            <v>277.25806451612902</v>
          </cell>
          <cell r="F54" t="str">
            <v>INJ.MOULD. M/C V</v>
          </cell>
          <cell r="G54" t="str">
            <v>Black</v>
          </cell>
        </row>
        <row r="55">
          <cell r="B55" t="str">
            <v>14SW311155-00003X0</v>
          </cell>
          <cell r="C55" t="str">
            <v>INSULATOR</v>
          </cell>
          <cell r="D55" t="str">
            <v>M.P-08</v>
          </cell>
          <cell r="E55">
            <v>1770.6774193548388</v>
          </cell>
          <cell r="F55" t="str">
            <v>INJ.MOULD. M/C V</v>
          </cell>
          <cell r="G55" t="str">
            <v>Blue</v>
          </cell>
        </row>
        <row r="56">
          <cell r="B56" t="str">
            <v>S03066-008A0X</v>
          </cell>
          <cell r="C56" t="str">
            <v>COUPLER GUIDE 4P</v>
          </cell>
          <cell r="D56" t="str">
            <v>M.P-08</v>
          </cell>
          <cell r="E56">
            <v>105.29032258064515</v>
          </cell>
          <cell r="F56" t="str">
            <v>INJ.MOULD. M/C V</v>
          </cell>
          <cell r="G56" t="str">
            <v>Blue</v>
          </cell>
        </row>
        <row r="57">
          <cell r="B57" t="str">
            <v>S31867-002A0X</v>
          </cell>
          <cell r="C57" t="str">
            <v>BASE CP</v>
          </cell>
          <cell r="D57" t="str">
            <v>M.P-08</v>
          </cell>
          <cell r="E57">
            <v>762.87096774193549</v>
          </cell>
          <cell r="F57" t="str">
            <v>INJ.MOULD. M/C V</v>
          </cell>
          <cell r="G57" t="str">
            <v>Black</v>
          </cell>
        </row>
        <row r="58">
          <cell r="B58" t="str">
            <v>S12052-003A0X</v>
          </cell>
          <cell r="C58" t="str">
            <v>Ins.Cp.Turn.Dimmer &amp; Light RH</v>
          </cell>
          <cell r="D58" t="str">
            <v>M.P-08</v>
          </cell>
          <cell r="E58">
            <v>665.0322580645161</v>
          </cell>
          <cell r="F58" t="str">
            <v>INJ.MOULD. M/C V</v>
          </cell>
          <cell r="G58" t="str">
            <v>Black</v>
          </cell>
        </row>
        <row r="59">
          <cell r="B59" t="str">
            <v>14SW311156-00002X0</v>
          </cell>
          <cell r="C59" t="str">
            <v>INSULATOR</v>
          </cell>
          <cell r="D59" t="str">
            <v>M.P-08</v>
          </cell>
          <cell r="E59">
            <v>816.09677419354853</v>
          </cell>
          <cell r="F59" t="str">
            <v>INJ.MOULD. M/C V</v>
          </cell>
          <cell r="G59" t="str">
            <v>White</v>
          </cell>
        </row>
        <row r="60">
          <cell r="B60" t="str">
            <v>S03077-001A0X</v>
          </cell>
          <cell r="C60" t="str">
            <v>COUPLER GUIDE 6P</v>
          </cell>
          <cell r="D60" t="str">
            <v>M.P-08</v>
          </cell>
          <cell r="E60">
            <v>94.161290322580641</v>
          </cell>
          <cell r="F60" t="str">
            <v>INJ.MOULD. M/C V</v>
          </cell>
          <cell r="G60" t="str">
            <v>Green</v>
          </cell>
        </row>
        <row r="61">
          <cell r="B61" t="str">
            <v>S03080-004A0X</v>
          </cell>
          <cell r="C61" t="str">
            <v>COUPLER GUIDE</v>
          </cell>
          <cell r="D61" t="str">
            <v>M.P-08</v>
          </cell>
          <cell r="E61">
            <v>8.0322580645161281</v>
          </cell>
          <cell r="F61" t="str">
            <v>INJ.MOULD. M/C V</v>
          </cell>
          <cell r="G61" t="str">
            <v>Black</v>
          </cell>
        </row>
        <row r="62">
          <cell r="B62" t="str">
            <v>S250068-002</v>
          </cell>
          <cell r="C62" t="str">
            <v>INSULATOR</v>
          </cell>
          <cell r="D62" t="str">
            <v>M.P-08</v>
          </cell>
          <cell r="E62" t="e">
            <v>#N/A</v>
          </cell>
          <cell r="F62" t="e">
            <v>#N/A</v>
          </cell>
          <cell r="G62" t="e">
            <v>#N/A</v>
          </cell>
        </row>
        <row r="63">
          <cell r="B63" t="str">
            <v>14SW311083-00005X0</v>
          </cell>
          <cell r="C63" t="str">
            <v>INSULATOR CP</v>
          </cell>
          <cell r="D63" t="str">
            <v>M.P-08</v>
          </cell>
          <cell r="E63">
            <v>460.64516129032262</v>
          </cell>
          <cell r="F63" t="str">
            <v>INJ.MOULD. M/C V</v>
          </cell>
          <cell r="G63" t="str">
            <v>Brown</v>
          </cell>
        </row>
        <row r="64">
          <cell r="B64" t="str">
            <v>S11026-054A0X</v>
          </cell>
          <cell r="C64" t="str">
            <v>Insulator Cp Dimmer &amp; Light RH</v>
          </cell>
          <cell r="D64" t="str">
            <v>M.P-08</v>
          </cell>
          <cell r="E64">
            <v>570.77419354838707</v>
          </cell>
          <cell r="F64" t="str">
            <v>INJ.MOULD. M/C V</v>
          </cell>
          <cell r="G64" t="str">
            <v>Black</v>
          </cell>
        </row>
        <row r="65">
          <cell r="B65" t="str">
            <v>14SW110487-00002X0</v>
          </cell>
          <cell r="C65" t="str">
            <v>INSULATOR CP RR WIPER</v>
          </cell>
          <cell r="D65" t="str">
            <v>M.P-08</v>
          </cell>
          <cell r="E65">
            <v>190.25806451612902</v>
          </cell>
          <cell r="F65" t="str">
            <v>INJ.MOULD. M/C V</v>
          </cell>
          <cell r="G65" t="str">
            <v>Black</v>
          </cell>
        </row>
        <row r="66">
          <cell r="B66" t="str">
            <v>S01100-004A0X</v>
          </cell>
          <cell r="C66" t="str">
            <v>INSULATOR CP</v>
          </cell>
          <cell r="D66" t="str">
            <v>M.P-08</v>
          </cell>
          <cell r="E66" t="e">
            <v>#N/A</v>
          </cell>
          <cell r="F66" t="e">
            <v>#N/A</v>
          </cell>
          <cell r="G66" t="e">
            <v>#N/A</v>
          </cell>
        </row>
        <row r="67">
          <cell r="B67" t="str">
            <v>S250069-001</v>
          </cell>
          <cell r="C67" t="str">
            <v>INSULATOR</v>
          </cell>
          <cell r="D67" t="str">
            <v>M.P-08</v>
          </cell>
          <cell r="E67" t="e">
            <v>#N/A</v>
          </cell>
          <cell r="F67" t="e">
            <v>#N/A</v>
          </cell>
          <cell r="G67" t="e">
            <v>#N/A</v>
          </cell>
        </row>
        <row r="68">
          <cell r="B68" t="str">
            <v>14SW311082-00010X0</v>
          </cell>
          <cell r="C68" t="str">
            <v>INSULATOR</v>
          </cell>
          <cell r="D68" t="str">
            <v>M.P-08</v>
          </cell>
          <cell r="E68">
            <v>475.9354838709678</v>
          </cell>
          <cell r="F68" t="str">
            <v>INJ.MOULD. M/C V</v>
          </cell>
          <cell r="G68" t="e">
            <v>#N/A</v>
          </cell>
        </row>
        <row r="69">
          <cell r="B69" t="str">
            <v>S12042-004A9X</v>
          </cell>
          <cell r="C69" t="str">
            <v>INSULATOR CP FOG RH</v>
          </cell>
          <cell r="D69" t="str">
            <v>M.P-09</v>
          </cell>
          <cell r="E69">
            <v>1200</v>
          </cell>
          <cell r="F69" t="str">
            <v>INJ.MOULD. M/C V</v>
          </cell>
          <cell r="G69" t="str">
            <v>Black</v>
          </cell>
        </row>
        <row r="70">
          <cell r="B70" t="str">
            <v>14SW311083-00005X0</v>
          </cell>
          <cell r="C70" t="str">
            <v>INSULATOR CP</v>
          </cell>
          <cell r="D70" t="str">
            <v>M.P-09</v>
          </cell>
          <cell r="E70">
            <v>460.64516129032262</v>
          </cell>
          <cell r="F70" t="str">
            <v>INJ.MOULD. M/C V</v>
          </cell>
          <cell r="G70" t="str">
            <v>Brown</v>
          </cell>
        </row>
        <row r="71">
          <cell r="B71" t="str">
            <v>M41224-022A0X</v>
          </cell>
          <cell r="C71" t="str">
            <v>BASE CP</v>
          </cell>
          <cell r="D71" t="str">
            <v>M.P-09</v>
          </cell>
          <cell r="E71" t="e">
            <v>#N/A</v>
          </cell>
          <cell r="F71" t="e">
            <v>#N/A</v>
          </cell>
          <cell r="G71" t="str">
            <v>Black</v>
          </cell>
        </row>
        <row r="72">
          <cell r="B72" t="str">
            <v>S33045-010A0X</v>
          </cell>
          <cell r="C72" t="str">
            <v>TERMINAL COMP</v>
          </cell>
          <cell r="D72" t="str">
            <v>M.P-09</v>
          </cell>
          <cell r="E72">
            <v>1.161290322580645</v>
          </cell>
          <cell r="F72" t="str">
            <v>INJ.MOULD. M/C V</v>
          </cell>
          <cell r="G72" t="str">
            <v>Black</v>
          </cell>
        </row>
        <row r="73">
          <cell r="B73" t="str">
            <v>S31777-003A0X</v>
          </cell>
          <cell r="C73" t="str">
            <v>BASE</v>
          </cell>
          <cell r="D73" t="str">
            <v>M.P-09</v>
          </cell>
          <cell r="E73">
            <v>720.58064516129025</v>
          </cell>
          <cell r="F73" t="str">
            <v>INJ.MOULD. M/C V</v>
          </cell>
          <cell r="G73" t="str">
            <v>Black</v>
          </cell>
        </row>
        <row r="74">
          <cell r="B74" t="str">
            <v>S12089-004A0X</v>
          </cell>
          <cell r="C74" t="str">
            <v>INSULATOR CP, FOG, LH</v>
          </cell>
          <cell r="D74" t="str">
            <v>M.P-09</v>
          </cell>
          <cell r="E74">
            <v>1834.3548387096776</v>
          </cell>
          <cell r="F74" t="str">
            <v>INJ.MOULD. M/C V</v>
          </cell>
          <cell r="G74" t="str">
            <v>Black</v>
          </cell>
        </row>
        <row r="75">
          <cell r="B75" t="str">
            <v>S12102-001A0X</v>
          </cell>
          <cell r="C75" t="str">
            <v>CONNECTOR CP FOG RH</v>
          </cell>
          <cell r="D75" t="str">
            <v>M.P-09</v>
          </cell>
          <cell r="E75">
            <v>222.29032258064515</v>
          </cell>
          <cell r="F75" t="str">
            <v>INJ.MOULD. M/C V</v>
          </cell>
          <cell r="G75" t="str">
            <v>Black</v>
          </cell>
        </row>
        <row r="76">
          <cell r="B76" t="str">
            <v>S32168-007A0X</v>
          </cell>
          <cell r="C76" t="str">
            <v>PIN HEADER</v>
          </cell>
          <cell r="D76" t="str">
            <v>M.P-09</v>
          </cell>
          <cell r="E76">
            <v>1202.7096774193546</v>
          </cell>
          <cell r="F76" t="str">
            <v>INJ.MOULD. M/C V</v>
          </cell>
          <cell r="G76" t="str">
            <v>Black</v>
          </cell>
        </row>
        <row r="77">
          <cell r="B77" t="str">
            <v>S12089-001A0X</v>
          </cell>
          <cell r="C77" t="str">
            <v>CONNECTOR CP FOG LH</v>
          </cell>
          <cell r="D77" t="str">
            <v>M.P-09</v>
          </cell>
          <cell r="E77">
            <v>332.41935483870969</v>
          </cell>
          <cell r="F77" t="str">
            <v>INJ.MOULD. M/C V</v>
          </cell>
          <cell r="G77" t="str">
            <v>Black</v>
          </cell>
        </row>
        <row r="78">
          <cell r="B78" t="str">
            <v>S11332-002A0X</v>
          </cell>
          <cell r="C78" t="str">
            <v>BASE, FOG.(R)</v>
          </cell>
          <cell r="D78" t="str">
            <v>M.P-09</v>
          </cell>
          <cell r="E78">
            <v>0.67741935483870963</v>
          </cell>
          <cell r="F78" t="str">
            <v>INJ.MOULD. M/C V</v>
          </cell>
          <cell r="G78" t="str">
            <v>Black</v>
          </cell>
        </row>
        <row r="79">
          <cell r="B79" t="str">
            <v>14SW210274-00016X0</v>
          </cell>
          <cell r="C79" t="str">
            <v>INSULATOR CP, AUTO</v>
          </cell>
          <cell r="D79" t="str">
            <v>M.P-09</v>
          </cell>
          <cell r="E79">
            <v>7373.2258064516118</v>
          </cell>
          <cell r="F79" t="str">
            <v>INJ.MOULD. M/C V</v>
          </cell>
          <cell r="G79" t="str">
            <v>White</v>
          </cell>
        </row>
        <row r="80">
          <cell r="B80" t="str">
            <v>14SW210274-00013X0</v>
          </cell>
          <cell r="C80" t="str">
            <v>CONTACT CP</v>
          </cell>
          <cell r="D80" t="str">
            <v>M.P-09</v>
          </cell>
          <cell r="E80">
            <v>7373.2258064516118</v>
          </cell>
          <cell r="F80" t="str">
            <v>INJ.MOULD. M/C V</v>
          </cell>
          <cell r="G80" t="str">
            <v>White</v>
          </cell>
        </row>
        <row r="81">
          <cell r="B81" t="str">
            <v>14SW311156-00002X0</v>
          </cell>
          <cell r="C81" t="str">
            <v>INSULATOR</v>
          </cell>
          <cell r="D81" t="str">
            <v>M.P-09</v>
          </cell>
          <cell r="E81">
            <v>816.09677419354853</v>
          </cell>
          <cell r="F81" t="str">
            <v>INJ.MOULD. M/C V</v>
          </cell>
          <cell r="G81" t="str">
            <v>White</v>
          </cell>
        </row>
        <row r="82">
          <cell r="B82" t="str">
            <v>14SW311038-00005X0</v>
          </cell>
          <cell r="C82" t="str">
            <v>BASE CP</v>
          </cell>
          <cell r="D82" t="str">
            <v>M.P-09</v>
          </cell>
          <cell r="E82">
            <v>1178.7096774193546</v>
          </cell>
          <cell r="F82" t="str">
            <v>INJ.MOULD. M/C V</v>
          </cell>
          <cell r="G82" t="str">
            <v>Black</v>
          </cell>
        </row>
        <row r="83">
          <cell r="B83" t="str">
            <v>S21175-002</v>
          </cell>
          <cell r="C83" t="str">
            <v>INSULATOR CP</v>
          </cell>
          <cell r="D83" t="str">
            <v>M.P-10</v>
          </cell>
          <cell r="E83" t="e">
            <v>#N/A</v>
          </cell>
          <cell r="F83" t="e">
            <v>#N/A</v>
          </cell>
          <cell r="G83" t="e">
            <v>#N/A</v>
          </cell>
        </row>
        <row r="84">
          <cell r="B84" t="str">
            <v>S12087-004</v>
          </cell>
          <cell r="C84" t="str">
            <v>INSULATOR CP</v>
          </cell>
          <cell r="D84" t="str">
            <v>M.P-10</v>
          </cell>
          <cell r="E84" t="e">
            <v>#N/A</v>
          </cell>
          <cell r="F84" t="e">
            <v>#N/A</v>
          </cell>
          <cell r="G84" t="e">
            <v>#N/A</v>
          </cell>
        </row>
        <row r="85">
          <cell r="B85" t="str">
            <v>S11398-030A0X</v>
          </cell>
          <cell r="C85" t="str">
            <v>INSULATOR CP WIPER RH</v>
          </cell>
          <cell r="D85" t="str">
            <v>M.P-10</v>
          </cell>
          <cell r="E85">
            <v>420</v>
          </cell>
          <cell r="F85" t="str">
            <v>INJ.MOULD. M/C V</v>
          </cell>
          <cell r="G85" t="e">
            <v>#N/A</v>
          </cell>
        </row>
        <row r="86">
          <cell r="B86" t="str">
            <v>S11398-018A0X</v>
          </cell>
          <cell r="C86" t="str">
            <v>INSULATOR CP LIGHT RH</v>
          </cell>
          <cell r="D86" t="str">
            <v>M.P-10</v>
          </cell>
          <cell r="E86">
            <v>129.96774193548387</v>
          </cell>
          <cell r="F86" t="str">
            <v>INJ.MOULD. M/C V</v>
          </cell>
          <cell r="G86" t="str">
            <v>Black</v>
          </cell>
        </row>
        <row r="87">
          <cell r="B87" t="str">
            <v>S22166-016A0X</v>
          </cell>
          <cell r="C87" t="str">
            <v>BASE CP</v>
          </cell>
          <cell r="D87" t="str">
            <v>M.P-10</v>
          </cell>
          <cell r="E87">
            <v>248.0322580645161</v>
          </cell>
          <cell r="F87" t="str">
            <v>INJ.MOULD. M/C V</v>
          </cell>
          <cell r="G87" t="str">
            <v>Black</v>
          </cell>
        </row>
        <row r="88">
          <cell r="B88" t="str">
            <v>S13088-007A0X</v>
          </cell>
          <cell r="C88" t="str">
            <v>INSULATOR CP,WIPER,RH</v>
          </cell>
          <cell r="D88" t="str">
            <v>M.P-10</v>
          </cell>
          <cell r="E88">
            <v>21.677419354838708</v>
          </cell>
          <cell r="F88" t="str">
            <v>INJ.MOULD. M/C V</v>
          </cell>
          <cell r="G88" t="str">
            <v>Black</v>
          </cell>
        </row>
        <row r="89">
          <cell r="B89" t="str">
            <v>S13116-011A0X</v>
          </cell>
          <cell r="C89" t="str">
            <v>INSULATOR CP, WIPER, RH</v>
          </cell>
          <cell r="D89" t="str">
            <v>M.P-10</v>
          </cell>
          <cell r="E89">
            <v>443.90322580645159</v>
          </cell>
          <cell r="F89" t="str">
            <v>INJ.MOULD. M/C V</v>
          </cell>
          <cell r="G89" t="str">
            <v>Black</v>
          </cell>
        </row>
        <row r="90">
          <cell r="B90" t="str">
            <v>S13120-001A0X</v>
          </cell>
          <cell r="C90" t="str">
            <v>INSULATOR CP, WIPER, RH</v>
          </cell>
          <cell r="D90" t="str">
            <v>M.P-10</v>
          </cell>
          <cell r="E90">
            <v>128.80645161290323</v>
          </cell>
          <cell r="F90" t="str">
            <v>INJ.MOULD. M/C V</v>
          </cell>
          <cell r="G90" t="str">
            <v>Black</v>
          </cell>
        </row>
        <row r="91">
          <cell r="B91" t="str">
            <v>S33107-005A0X</v>
          </cell>
          <cell r="C91" t="str">
            <v>BASE AUDIO B</v>
          </cell>
          <cell r="D91" t="str">
            <v>M.P-10</v>
          </cell>
          <cell r="E91">
            <v>78.290322580645167</v>
          </cell>
          <cell r="F91" t="str">
            <v>INJ.MOULD. M/C(</v>
          </cell>
          <cell r="G91" t="str">
            <v>Black</v>
          </cell>
        </row>
        <row r="92">
          <cell r="B92" t="str">
            <v>S13098-005A0X</v>
          </cell>
          <cell r="C92" t="str">
            <v>PIECE TURN &amp; WIPER</v>
          </cell>
          <cell r="D92" t="str">
            <v>M.P-10</v>
          </cell>
          <cell r="E92">
            <v>5.225806451612903</v>
          </cell>
          <cell r="F92" t="str">
            <v>INJ.MOULD. M/C V</v>
          </cell>
          <cell r="G92" t="e">
            <v>#N/A</v>
          </cell>
        </row>
        <row r="93">
          <cell r="B93" t="str">
            <v>S13094-014A0X</v>
          </cell>
          <cell r="C93" t="str">
            <v>INSULATOR CP. WIPER RH</v>
          </cell>
          <cell r="D93" t="str">
            <v>M.P-10</v>
          </cell>
          <cell r="E93">
            <v>26.129032258064512</v>
          </cell>
          <cell r="F93" t="str">
            <v>INJ.MOULD. M/C V</v>
          </cell>
          <cell r="G93" t="str">
            <v>Black</v>
          </cell>
        </row>
        <row r="94">
          <cell r="B94" t="str">
            <v>S13081-004A0X</v>
          </cell>
          <cell r="C94" t="str">
            <v>INSULATOR CP. WIPER LH</v>
          </cell>
          <cell r="D94" t="str">
            <v>M.P-10</v>
          </cell>
          <cell r="E94">
            <v>0.67741935483870963</v>
          </cell>
          <cell r="F94" t="str">
            <v>INJ.MOULD. M/C V</v>
          </cell>
          <cell r="G94" t="str">
            <v>Black</v>
          </cell>
        </row>
        <row r="95">
          <cell r="B95" t="str">
            <v>14SW030082-00001X0</v>
          </cell>
          <cell r="C95" t="str">
            <v>INSULATOR CP</v>
          </cell>
          <cell r="D95" t="str">
            <v>M.P-10</v>
          </cell>
          <cell r="E95">
            <v>479.70967741935488</v>
          </cell>
          <cell r="F95" t="str">
            <v>INJ.MOULD. M/C V</v>
          </cell>
          <cell r="G95" t="str">
            <v>Black</v>
          </cell>
        </row>
        <row r="96">
          <cell r="B96" t="str">
            <v>S13080-004A0X</v>
          </cell>
          <cell r="C96" t="str">
            <v>INSULATOR CP. WIPER RH</v>
          </cell>
          <cell r="D96" t="str">
            <v>M.P-10</v>
          </cell>
          <cell r="E96">
            <v>74.516129032258064</v>
          </cell>
          <cell r="F96" t="str">
            <v>INJ.MOULD. M/C V</v>
          </cell>
          <cell r="G96" t="str">
            <v>Black</v>
          </cell>
        </row>
        <row r="97">
          <cell r="B97" t="str">
            <v>S12104-006A0X</v>
          </cell>
          <cell r="C97" t="str">
            <v>INSULATOR CP TURN DIMMER &amp; LIGHT RH</v>
          </cell>
          <cell r="D97" t="str">
            <v>M.P-11</v>
          </cell>
          <cell r="E97">
            <v>4107.2903225806449</v>
          </cell>
          <cell r="F97" t="str">
            <v>INJ.MOULD. M/C V</v>
          </cell>
          <cell r="G97">
            <v>0</v>
          </cell>
        </row>
        <row r="98">
          <cell r="B98" t="str">
            <v>S12095-004A0X</v>
          </cell>
          <cell r="C98" t="str">
            <v>INSULATOR CP,TURN DIMMER &amp; LIGHT,LH</v>
          </cell>
          <cell r="D98" t="str">
            <v>M.P-11</v>
          </cell>
          <cell r="E98">
            <v>1420.258064516129</v>
          </cell>
          <cell r="F98" t="str">
            <v>INJ.MOULD. M/C V</v>
          </cell>
          <cell r="G98" t="str">
            <v>Black</v>
          </cell>
        </row>
        <row r="99">
          <cell r="B99" t="str">
            <v>S32197-006A0X</v>
          </cell>
          <cell r="C99" t="str">
            <v>PIN HEADER</v>
          </cell>
          <cell r="D99" t="str">
            <v>M.P-12</v>
          </cell>
          <cell r="E99">
            <v>15606.58064516129</v>
          </cell>
          <cell r="F99" t="str">
            <v>INJ.MOULD. M/C V</v>
          </cell>
          <cell r="G99" t="str">
            <v>Black</v>
          </cell>
        </row>
        <row r="100">
          <cell r="B100" t="str">
            <v>S12042-004A9X</v>
          </cell>
          <cell r="C100" t="str">
            <v>INSULATOR CP FOG RH</v>
          </cell>
          <cell r="D100" t="str">
            <v>M.P-12</v>
          </cell>
          <cell r="E100">
            <v>1200</v>
          </cell>
          <cell r="F100" t="str">
            <v>INJ.MOULD. M/C V</v>
          </cell>
          <cell r="G100" t="str">
            <v>Black</v>
          </cell>
        </row>
        <row r="101">
          <cell r="B101" t="str">
            <v>S32168-007A0X</v>
          </cell>
          <cell r="C101" t="str">
            <v>PIN HEADER</v>
          </cell>
          <cell r="D101" t="str">
            <v>M.P-12</v>
          </cell>
          <cell r="E101">
            <v>1202.7096774193546</v>
          </cell>
          <cell r="F101" t="str">
            <v>INJ.MOULD. M/C V</v>
          </cell>
          <cell r="G101" t="str">
            <v>Black</v>
          </cell>
        </row>
        <row r="102">
          <cell r="B102" t="str">
            <v>S11436-002</v>
          </cell>
          <cell r="C102" t="str">
            <v>INSULATOR CP</v>
          </cell>
          <cell r="D102" t="str">
            <v>M.P-12</v>
          </cell>
          <cell r="E102" t="e">
            <v>#N/A</v>
          </cell>
          <cell r="F102" t="e">
            <v>#N/A</v>
          </cell>
          <cell r="G102" t="e">
            <v>#N/A</v>
          </cell>
        </row>
        <row r="103">
          <cell r="B103" t="str">
            <v>S31437-004A0X</v>
          </cell>
          <cell r="C103" t="str">
            <v>INSULATOR CP</v>
          </cell>
          <cell r="D103" t="str">
            <v>M.P-13</v>
          </cell>
          <cell r="E103">
            <v>6278.6129032258068</v>
          </cell>
          <cell r="F103" t="str">
            <v>INJ.MOULD. M/C V</v>
          </cell>
          <cell r="G103" t="str">
            <v>Black</v>
          </cell>
        </row>
        <row r="104">
          <cell r="B104" t="str">
            <v>S07023-002A0X</v>
          </cell>
          <cell r="C104" t="str">
            <v>INSULATOR</v>
          </cell>
          <cell r="D104" t="str">
            <v>M.P-13</v>
          </cell>
          <cell r="E104">
            <v>361.54838709677421</v>
          </cell>
          <cell r="F104" t="str">
            <v>INJ.MOULD. M/C V</v>
          </cell>
          <cell r="G104" t="str">
            <v>Black</v>
          </cell>
        </row>
        <row r="105">
          <cell r="B105" t="str">
            <v>S13123-002A0X</v>
          </cell>
          <cell r="C105" t="str">
            <v>INSULATOR CP RR WIPER LH</v>
          </cell>
          <cell r="D105" t="str">
            <v>M.P-13</v>
          </cell>
          <cell r="E105">
            <v>499.45161290322574</v>
          </cell>
          <cell r="F105" t="str">
            <v>INJ.MOULD. M/C V</v>
          </cell>
          <cell r="G105" t="str">
            <v>Black</v>
          </cell>
        </row>
        <row r="106">
          <cell r="B106" t="str">
            <v>S31740-008A0X</v>
          </cell>
          <cell r="C106" t="str">
            <v>PIN HEADER CP</v>
          </cell>
          <cell r="D106" t="str">
            <v>M.P-13</v>
          </cell>
          <cell r="E106">
            <v>162.09677419354838</v>
          </cell>
          <cell r="F106" t="str">
            <v>INJ.MOULD. M/C V</v>
          </cell>
          <cell r="G106" t="str">
            <v>Black</v>
          </cell>
        </row>
        <row r="107">
          <cell r="B107" t="str">
            <v>S12091-001A0X</v>
          </cell>
          <cell r="C107" t="str">
            <v>INSULATOR CP, FOG, LH</v>
          </cell>
          <cell r="D107" t="str">
            <v>M.P-13</v>
          </cell>
          <cell r="E107">
            <v>277.25806451612902</v>
          </cell>
          <cell r="F107" t="str">
            <v>INJ.MOULD. M/C V</v>
          </cell>
          <cell r="G107" t="str">
            <v>Black</v>
          </cell>
        </row>
        <row r="108">
          <cell r="B108" t="str">
            <v>S13052-005A0X</v>
          </cell>
          <cell r="C108" t="str">
            <v>CONTACT CP.RR.WI</v>
          </cell>
          <cell r="D108" t="str">
            <v>M.P-13</v>
          </cell>
          <cell r="E108">
            <v>488.80645161290323</v>
          </cell>
          <cell r="F108" t="str">
            <v>INJ.MOULD. M/C V</v>
          </cell>
          <cell r="G108" t="e">
            <v>#N/A</v>
          </cell>
        </row>
        <row r="109">
          <cell r="B109" t="str">
            <v>S12094-001A0X</v>
          </cell>
          <cell r="C109" t="str">
            <v>CONNECTOR CP. AUTO LIGHT RH</v>
          </cell>
          <cell r="D109" t="str">
            <v>M.P-13</v>
          </cell>
          <cell r="E109">
            <v>5.225806451612903</v>
          </cell>
          <cell r="F109" t="str">
            <v>INJ.MOULD. M/C V</v>
          </cell>
          <cell r="G109" t="str">
            <v>White</v>
          </cell>
        </row>
        <row r="110">
          <cell r="B110" t="str">
            <v>S11038-029A0X</v>
          </cell>
          <cell r="C110" t="str">
            <v>Base Insert LT</v>
          </cell>
          <cell r="D110" t="str">
            <v>M.P-13</v>
          </cell>
          <cell r="E110">
            <v>53.516129032258064</v>
          </cell>
          <cell r="F110" t="str">
            <v>INJ.MOULD. M/C V</v>
          </cell>
          <cell r="G110" t="str">
            <v>Black</v>
          </cell>
        </row>
        <row r="111">
          <cell r="B111" t="str">
            <v>S31135-011A0X</v>
          </cell>
          <cell r="C111" t="str">
            <v>Base Cp</v>
          </cell>
          <cell r="D111" t="str">
            <v>M.P-13</v>
          </cell>
          <cell r="E111">
            <v>58.064516129032256</v>
          </cell>
          <cell r="F111" t="str">
            <v>INJ.MOULD. M/C V</v>
          </cell>
          <cell r="G111" t="str">
            <v>Black</v>
          </cell>
        </row>
        <row r="112">
          <cell r="B112" t="str">
            <v>S03044-005A0X</v>
          </cell>
          <cell r="C112" t="str">
            <v>Insulator B</v>
          </cell>
          <cell r="D112" t="str">
            <v>M.P-13</v>
          </cell>
          <cell r="E112">
            <v>10.451612903225806</v>
          </cell>
          <cell r="F112" t="str">
            <v>INJ.MOULD. M/C V</v>
          </cell>
          <cell r="G112" t="str">
            <v>White</v>
          </cell>
        </row>
        <row r="113">
          <cell r="B113" t="str">
            <v>S11340-008A0X</v>
          </cell>
          <cell r="C113" t="str">
            <v>PIECE CP RW. (R)</v>
          </cell>
          <cell r="D113" t="str">
            <v>M.P-13</v>
          </cell>
          <cell r="E113">
            <v>0</v>
          </cell>
          <cell r="F113" t="str">
            <v>INJ.MOULD. M/C V</v>
          </cell>
          <cell r="G113" t="str">
            <v>Black</v>
          </cell>
        </row>
        <row r="114">
          <cell r="B114" t="str">
            <v>S11122-015A0X</v>
          </cell>
          <cell r="C114" t="str">
            <v>Base RW</v>
          </cell>
          <cell r="D114" t="str">
            <v>M.P-13</v>
          </cell>
          <cell r="E114">
            <v>0</v>
          </cell>
          <cell r="F114" t="str">
            <v>INJ.MOULD. M/C V</v>
          </cell>
          <cell r="G114" t="str">
            <v>Black</v>
          </cell>
        </row>
        <row r="115">
          <cell r="B115" t="str">
            <v>S13092-004A0X</v>
          </cell>
          <cell r="C115" t="str">
            <v>CONNECTOR CP. AUTO, RH</v>
          </cell>
          <cell r="D115" t="str">
            <v>M.P-13</v>
          </cell>
          <cell r="E115">
            <v>0</v>
          </cell>
          <cell r="F115" t="str">
            <v>INJ.MOULD. M/C V</v>
          </cell>
          <cell r="G115" t="str">
            <v>Black</v>
          </cell>
        </row>
        <row r="116">
          <cell r="B116" t="str">
            <v>S12095-011A0X</v>
          </cell>
          <cell r="C116" t="str">
            <v>CONTACT CP, LIGHT</v>
          </cell>
          <cell r="D116" t="str">
            <v>M.P-13</v>
          </cell>
          <cell r="E116">
            <v>2131.8387096774195</v>
          </cell>
          <cell r="F116" t="str">
            <v>INJ.MOULD. M/C V</v>
          </cell>
          <cell r="G116" t="str">
            <v>Black</v>
          </cell>
        </row>
        <row r="117">
          <cell r="B117" t="str">
            <v>S310966-002</v>
          </cell>
          <cell r="C117" t="str">
            <v>BASE CP</v>
          </cell>
          <cell r="D117" t="str">
            <v>M.P-13</v>
          </cell>
          <cell r="E117" t="e">
            <v>#N/A</v>
          </cell>
          <cell r="F117" t="e">
            <v>#N/A</v>
          </cell>
          <cell r="G117" t="e">
            <v>#N/A</v>
          </cell>
        </row>
        <row r="118">
          <cell r="B118" t="str">
            <v>14SW220197-00010X0</v>
          </cell>
          <cell r="C118" t="str">
            <v>PIN HEADER</v>
          </cell>
          <cell r="D118" t="str">
            <v>M.P-13</v>
          </cell>
          <cell r="E118">
            <v>2359.8387096774195</v>
          </cell>
          <cell r="F118" t="str">
            <v>INJ.MOULD. M/C V</v>
          </cell>
          <cell r="G118" t="str">
            <v>Black</v>
          </cell>
        </row>
        <row r="119">
          <cell r="B119" t="str">
            <v>S12095-003A0X</v>
          </cell>
          <cell r="C119" t="str">
            <v>CONTACT CP, DIMMER, LH</v>
          </cell>
          <cell r="D119" t="str">
            <v>M.P-13</v>
          </cell>
          <cell r="E119">
            <v>2537.2258064516127</v>
          </cell>
          <cell r="F119" t="str">
            <v>INJ.MOULD. M/C V</v>
          </cell>
          <cell r="G119" t="str">
            <v>Black</v>
          </cell>
        </row>
        <row r="120">
          <cell r="B120" t="str">
            <v>S02020-010A0X</v>
          </cell>
          <cell r="C120" t="str">
            <v>Stator Sub-CP</v>
          </cell>
          <cell r="D120" t="str">
            <v>M.P-14</v>
          </cell>
          <cell r="E120">
            <v>290.51612903225805</v>
          </cell>
          <cell r="F120" t="str">
            <v>INJ.MOULD. M/C V</v>
          </cell>
          <cell r="G120" t="str">
            <v>White</v>
          </cell>
        </row>
        <row r="121">
          <cell r="B121" t="str">
            <v>S21021-021A0X</v>
          </cell>
          <cell r="C121" t="str">
            <v>Connector Cp.</v>
          </cell>
          <cell r="D121" t="str">
            <v>M.P-14</v>
          </cell>
          <cell r="E121" t="e">
            <v>#N/A</v>
          </cell>
          <cell r="F121" t="e">
            <v>#N/A</v>
          </cell>
          <cell r="G121" t="e">
            <v>#N/A</v>
          </cell>
        </row>
        <row r="122">
          <cell r="B122" t="str">
            <v>S21007-038A0X</v>
          </cell>
          <cell r="C122" t="str">
            <v>SWITCH BODY CP</v>
          </cell>
          <cell r="D122" t="str">
            <v>M.P-14</v>
          </cell>
          <cell r="E122" t="e">
            <v>#N/A</v>
          </cell>
          <cell r="F122" t="e">
            <v>#N/A</v>
          </cell>
          <cell r="G122" t="str">
            <v>White</v>
          </cell>
        </row>
        <row r="123">
          <cell r="B123" t="str">
            <v>S13114-003A0X</v>
          </cell>
          <cell r="C123" t="str">
            <v>INSULATOR CP.RR WIPER RH</v>
          </cell>
          <cell r="D123" t="str">
            <v>M.P-14</v>
          </cell>
          <cell r="E123">
            <v>20.903225806451612</v>
          </cell>
          <cell r="F123" t="str">
            <v>INJ.MOULD. M/C V</v>
          </cell>
          <cell r="G123" t="str">
            <v>Black</v>
          </cell>
        </row>
        <row r="124">
          <cell r="B124" t="str">
            <v>S13071-012A0X</v>
          </cell>
          <cell r="C124" t="str">
            <v>Contact CP RR Wiper</v>
          </cell>
          <cell r="D124" t="str">
            <v>M.P-14</v>
          </cell>
          <cell r="E124">
            <v>5.903225806451613</v>
          </cell>
          <cell r="F124" t="str">
            <v>INJ.MOULD. M/C V</v>
          </cell>
          <cell r="G124" t="str">
            <v>White</v>
          </cell>
        </row>
        <row r="125">
          <cell r="B125" t="str">
            <v>S11358-028A0X</v>
          </cell>
          <cell r="C125" t="str">
            <v>CONNECTOR CP MAIN</v>
          </cell>
          <cell r="D125" t="str">
            <v>M.P-14</v>
          </cell>
          <cell r="E125">
            <v>0</v>
          </cell>
          <cell r="F125" t="str">
            <v>INJ.MOULD. M/C V</v>
          </cell>
          <cell r="G125" t="str">
            <v>Black</v>
          </cell>
        </row>
        <row r="126">
          <cell r="B126" t="str">
            <v>S21009-009A0X</v>
          </cell>
          <cell r="C126" t="str">
            <v>SW BODY W CP.</v>
          </cell>
          <cell r="D126" t="str">
            <v>M.P-14</v>
          </cell>
          <cell r="E126" t="e">
            <v>#N/A</v>
          </cell>
          <cell r="F126" t="e">
            <v>#N/A</v>
          </cell>
          <cell r="G126" t="e">
            <v>#N/A</v>
          </cell>
        </row>
        <row r="127">
          <cell r="B127" t="str">
            <v>14SW210274-00016X0</v>
          </cell>
          <cell r="C127" t="str">
            <v>INSULATOR CP, AUTO</v>
          </cell>
          <cell r="D127" t="str">
            <v>M.P-14</v>
          </cell>
          <cell r="E127">
            <v>7373.2258064516118</v>
          </cell>
          <cell r="F127" t="str">
            <v>INJ.MOULD. M/C V</v>
          </cell>
          <cell r="G127" t="str">
            <v>White</v>
          </cell>
        </row>
        <row r="128">
          <cell r="B128" t="str">
            <v>14SW220201-00010X0</v>
          </cell>
          <cell r="C128" t="str">
            <v>INSULATOR CP</v>
          </cell>
          <cell r="D128" t="str">
            <v>M.P-14</v>
          </cell>
          <cell r="E128">
            <v>10746.870967741936</v>
          </cell>
          <cell r="F128" t="str">
            <v>INJ.MOULD. M/C V</v>
          </cell>
          <cell r="G128" t="str">
            <v>White</v>
          </cell>
        </row>
        <row r="129">
          <cell r="B129" t="str">
            <v>S03066-001A0X</v>
          </cell>
          <cell r="C129" t="str">
            <v>CASE</v>
          </cell>
          <cell r="D129" t="str">
            <v>M.P-14</v>
          </cell>
          <cell r="E129">
            <v>199.45161290322579</v>
          </cell>
          <cell r="F129" t="str">
            <v>INJ.MOULD. M/C V</v>
          </cell>
          <cell r="G129" t="str">
            <v>Black</v>
          </cell>
        </row>
        <row r="130">
          <cell r="B130" t="str">
            <v>S13083-011A0X</v>
          </cell>
          <cell r="C130" t="str">
            <v>INSULATOR CP,RR WIPER,LH</v>
          </cell>
          <cell r="D130" t="str">
            <v>M.P-14</v>
          </cell>
          <cell r="E130">
            <v>1594.0645161290322</v>
          </cell>
          <cell r="F130" t="str">
            <v>INJ.MOULD. M/C V</v>
          </cell>
          <cell r="G130" t="str">
            <v>Black</v>
          </cell>
        </row>
        <row r="131">
          <cell r="B131" t="str">
            <v>14SW210274-00013X0</v>
          </cell>
          <cell r="C131" t="str">
            <v>CONTACT CP</v>
          </cell>
          <cell r="D131" t="str">
            <v>M.P-14</v>
          </cell>
          <cell r="E131">
            <v>7373.2258064516118</v>
          </cell>
          <cell r="F131" t="str">
            <v>INJ.MOULD. M/C V</v>
          </cell>
          <cell r="G131" t="str">
            <v>White</v>
          </cell>
        </row>
        <row r="132">
          <cell r="B132" t="str">
            <v>S311010-03</v>
          </cell>
          <cell r="C132" t="str">
            <v>Contact CP</v>
          </cell>
          <cell r="D132" t="str">
            <v>M.P-14</v>
          </cell>
          <cell r="E132" t="e">
            <v>#N/A</v>
          </cell>
          <cell r="F132" t="e">
            <v>#N/A</v>
          </cell>
          <cell r="G132" t="e">
            <v>#N/A</v>
          </cell>
        </row>
        <row r="133">
          <cell r="B133" t="str">
            <v>S13108-002A0X</v>
          </cell>
          <cell r="C133" t="str">
            <v>INSULATOR. CP WIPER RH</v>
          </cell>
          <cell r="D133" t="str">
            <v>M.P-15</v>
          </cell>
          <cell r="E133">
            <v>15621.096774193549</v>
          </cell>
          <cell r="F133" t="str">
            <v>INJ.MOULD. M/C(</v>
          </cell>
          <cell r="G133" t="str">
            <v>Black</v>
          </cell>
        </row>
        <row r="134">
          <cell r="B134" t="str">
            <v>S13083-003A0X</v>
          </cell>
          <cell r="C134" t="str">
            <v>INSULATOR CP WIPER LH</v>
          </cell>
          <cell r="D134" t="str">
            <v>M.P-15</v>
          </cell>
          <cell r="E134">
            <v>2579.6129032258063</v>
          </cell>
          <cell r="F134" t="str">
            <v>INJ.MOULD. M/C V</v>
          </cell>
          <cell r="G134" t="str">
            <v>Black</v>
          </cell>
        </row>
        <row r="135">
          <cell r="B135" t="str">
            <v>S31121-012A0X</v>
          </cell>
          <cell r="C135" t="str">
            <v>BASE CP.</v>
          </cell>
          <cell r="D135" t="str">
            <v>M.P-16</v>
          </cell>
          <cell r="E135">
            <v>8395.5483870967746</v>
          </cell>
          <cell r="F135" t="str">
            <v>INJ.MOULD. M/C V</v>
          </cell>
          <cell r="G135" t="str">
            <v>Black</v>
          </cell>
        </row>
        <row r="136">
          <cell r="B136" t="str">
            <v>S31064-006A0X</v>
          </cell>
          <cell r="C136" t="str">
            <v>BASE CP</v>
          </cell>
          <cell r="D136" t="str">
            <v>M.P-16</v>
          </cell>
          <cell r="E136">
            <v>40.258064516129032</v>
          </cell>
          <cell r="F136" t="str">
            <v>INJ.MOULD. M/C V</v>
          </cell>
          <cell r="G136" t="str">
            <v>Black</v>
          </cell>
        </row>
        <row r="137">
          <cell r="B137" t="str">
            <v>S31123-005A0X</v>
          </cell>
          <cell r="C137" t="str">
            <v>Base Cp.</v>
          </cell>
          <cell r="D137" t="str">
            <v>M.P-16</v>
          </cell>
          <cell r="E137">
            <v>168.09677419354838</v>
          </cell>
          <cell r="F137" t="str">
            <v>INJ.MOULD. M/C V</v>
          </cell>
          <cell r="G137" t="str">
            <v>Green</v>
          </cell>
        </row>
        <row r="138">
          <cell r="B138" t="str">
            <v>S03080-004A0X</v>
          </cell>
          <cell r="C138" t="str">
            <v>COUPLER GUIDE</v>
          </cell>
          <cell r="D138" t="str">
            <v>M.P-16</v>
          </cell>
          <cell r="E138">
            <v>8.0322580645161281</v>
          </cell>
          <cell r="F138" t="str">
            <v>INJ.MOULD. M/C V</v>
          </cell>
          <cell r="G138" t="str">
            <v>Black</v>
          </cell>
        </row>
        <row r="139">
          <cell r="B139" t="str">
            <v>S12106-001A0X</v>
          </cell>
          <cell r="C139" t="str">
            <v>CONNECTOR CP AUTO LIGHT AND FOG RH</v>
          </cell>
          <cell r="D139" t="str">
            <v>M.P-16</v>
          </cell>
          <cell r="E139">
            <v>10.451612903225806</v>
          </cell>
          <cell r="F139" t="str">
            <v>INJ.MOULD. M/C V</v>
          </cell>
          <cell r="G139" t="e">
            <v>#N/A</v>
          </cell>
        </row>
        <row r="140">
          <cell r="B140" t="str">
            <v>S11160-006A0X</v>
          </cell>
          <cell r="C140" t="str">
            <v>Base FR &amp; RR Fog R</v>
          </cell>
          <cell r="D140" t="str">
            <v>M.P-16</v>
          </cell>
          <cell r="E140">
            <v>2.129032258064516</v>
          </cell>
          <cell r="F140" t="str">
            <v>INJ.MOULD. M/C V</v>
          </cell>
          <cell r="G140" t="str">
            <v>Blue</v>
          </cell>
        </row>
        <row r="141">
          <cell r="B141" t="str">
            <v>S31851-002A0X</v>
          </cell>
          <cell r="C141" t="str">
            <v>BASE CP</v>
          </cell>
          <cell r="D141" t="str">
            <v>M.P-16</v>
          </cell>
          <cell r="E141">
            <v>0.38709677419354838</v>
          </cell>
          <cell r="F141" t="str">
            <v>INJ.MOULD. M/C V</v>
          </cell>
          <cell r="G141" t="str">
            <v>Black</v>
          </cell>
        </row>
        <row r="142">
          <cell r="B142" t="str">
            <v>S31068-005A0X</v>
          </cell>
          <cell r="C142" t="str">
            <v>Base CP</v>
          </cell>
          <cell r="D142" t="str">
            <v>M.P-16</v>
          </cell>
          <cell r="E142">
            <v>1.3548387096774193</v>
          </cell>
          <cell r="F142" t="str">
            <v>INJ.MOULD. M/C V</v>
          </cell>
          <cell r="G142" t="str">
            <v>Black</v>
          </cell>
        </row>
        <row r="143">
          <cell r="B143" t="str">
            <v>S31605-002A0X</v>
          </cell>
          <cell r="C143" t="str">
            <v>BASE CP.</v>
          </cell>
          <cell r="D143" t="str">
            <v>M.P-16</v>
          </cell>
          <cell r="E143">
            <v>0.38709677419354838</v>
          </cell>
          <cell r="F143" t="str">
            <v>INJ.MOULD. M/C V</v>
          </cell>
          <cell r="G143" t="str">
            <v>White</v>
          </cell>
        </row>
        <row r="144">
          <cell r="B144" t="str">
            <v>S33045-009A0X</v>
          </cell>
          <cell r="C144" t="str">
            <v>BASE AUDIO</v>
          </cell>
          <cell r="D144" t="str">
            <v>M.P-16</v>
          </cell>
          <cell r="E144">
            <v>0.38709677419354838</v>
          </cell>
          <cell r="F144" t="str">
            <v>INJ.MOULD. M/C V</v>
          </cell>
          <cell r="G144" t="str">
            <v>Black</v>
          </cell>
        </row>
        <row r="145">
          <cell r="B145" t="str">
            <v>14SW220201-00005X0</v>
          </cell>
          <cell r="C145" t="str">
            <v>CONNECTOR CP</v>
          </cell>
          <cell r="D145" t="str">
            <v>M.P-17</v>
          </cell>
          <cell r="E145">
            <v>792.09677419354853</v>
          </cell>
          <cell r="F145" t="str">
            <v>INJ.MOULD. M/C V</v>
          </cell>
          <cell r="G145" t="str">
            <v>White</v>
          </cell>
        </row>
        <row r="146">
          <cell r="B146" t="str">
            <v>S21021-016A0X</v>
          </cell>
          <cell r="C146" t="str">
            <v>Connector Cp.</v>
          </cell>
          <cell r="D146" t="str">
            <v>M.P-17</v>
          </cell>
          <cell r="E146">
            <v>528.58064516129025</v>
          </cell>
          <cell r="F146" t="str">
            <v>INJ.MOULD. M/C V</v>
          </cell>
          <cell r="G146" t="str">
            <v>Brown</v>
          </cell>
        </row>
        <row r="147">
          <cell r="B147" t="str">
            <v>S41354-011A0X</v>
          </cell>
          <cell r="C147" t="str">
            <v>INSULATOR CP</v>
          </cell>
          <cell r="D147" t="str">
            <v>M.P-17</v>
          </cell>
          <cell r="E147">
            <v>1768.8387096774195</v>
          </cell>
          <cell r="F147" t="str">
            <v>INJ.MOULD. M/C V</v>
          </cell>
          <cell r="G147" t="str">
            <v>White</v>
          </cell>
        </row>
        <row r="148">
          <cell r="B148" t="str">
            <v>S21021-012A0X</v>
          </cell>
          <cell r="C148" t="str">
            <v>Insulator Cp</v>
          </cell>
          <cell r="D148" t="str">
            <v>M.P-17</v>
          </cell>
          <cell r="E148">
            <v>604.0645161290322</v>
          </cell>
          <cell r="F148" t="str">
            <v>INJ.MOULD. M/C V</v>
          </cell>
          <cell r="G148" t="str">
            <v>White</v>
          </cell>
        </row>
        <row r="149">
          <cell r="B149" t="str">
            <v>S11434-002A0X</v>
          </cell>
          <cell r="C149" t="str">
            <v>INSULATOR CP LIGHT RH</v>
          </cell>
          <cell r="D149" t="str">
            <v>M.P-17</v>
          </cell>
          <cell r="E149">
            <v>563.51612903225805</v>
          </cell>
          <cell r="F149" t="str">
            <v>INJ.MOULD. M/C V</v>
          </cell>
          <cell r="G149" t="str">
            <v>White</v>
          </cell>
        </row>
        <row r="150">
          <cell r="B150" t="str">
            <v>S21077-008A0X</v>
          </cell>
          <cell r="C150" t="str">
            <v>INSULATOR CP</v>
          </cell>
          <cell r="D150" t="str">
            <v>M.P-17</v>
          </cell>
          <cell r="E150" t="e">
            <v>#N/A</v>
          </cell>
          <cell r="F150" t="e">
            <v>#N/A</v>
          </cell>
          <cell r="G150" t="str">
            <v>White</v>
          </cell>
        </row>
        <row r="151">
          <cell r="B151" t="str">
            <v>S120197-005</v>
          </cell>
          <cell r="C151" t="str">
            <v>INSULATOR CP</v>
          </cell>
          <cell r="D151" t="str">
            <v>M.P-17</v>
          </cell>
          <cell r="E151" t="e">
            <v>#N/A</v>
          </cell>
          <cell r="F151" t="e">
            <v>#N/A</v>
          </cell>
          <cell r="G151" t="e">
            <v>#N/A</v>
          </cell>
        </row>
        <row r="152">
          <cell r="B152" t="str">
            <v>14SW110487-00009X0</v>
          </cell>
          <cell r="C152" t="str">
            <v>INSULATOR CP. WIPER RH</v>
          </cell>
          <cell r="D152" t="str">
            <v>M.P-17</v>
          </cell>
          <cell r="E152">
            <v>190.25806451612902</v>
          </cell>
          <cell r="F152" t="str">
            <v>INJ.MOULD. M/C V</v>
          </cell>
          <cell r="G152" t="str">
            <v>Blue</v>
          </cell>
        </row>
        <row r="153">
          <cell r="B153" t="str">
            <v>S110432-007</v>
          </cell>
          <cell r="C153" t="str">
            <v>INSULATOR CP</v>
          </cell>
          <cell r="D153" t="str">
            <v>M.P-17</v>
          </cell>
          <cell r="E153" t="e">
            <v>#N/A</v>
          </cell>
          <cell r="F153" t="e">
            <v>#N/A</v>
          </cell>
          <cell r="G153" t="e">
            <v>#N/A</v>
          </cell>
        </row>
        <row r="154">
          <cell r="B154" t="str">
            <v>S21174-014A0X</v>
          </cell>
          <cell r="D154" t="str">
            <v>TOYO 1ST</v>
          </cell>
          <cell r="E154">
            <v>1900.6451612903224</v>
          </cell>
          <cell r="F154" t="str">
            <v>INJ.MOULD. M/C(</v>
          </cell>
          <cell r="G154" t="str">
            <v>White</v>
          </cell>
        </row>
        <row r="155">
          <cell r="B155" t="str">
            <v>S41356-017A0X</v>
          </cell>
          <cell r="D155" t="str">
            <v>TOYO 1ST</v>
          </cell>
          <cell r="E155">
            <v>368.32258064516134</v>
          </cell>
          <cell r="F155" t="str">
            <v>INJ.MOULD. M/C(</v>
          </cell>
          <cell r="G155" t="e">
            <v>#N/A</v>
          </cell>
        </row>
        <row r="156">
          <cell r="B156" t="str">
            <v>14SW210274-00008X0</v>
          </cell>
          <cell r="D156" t="str">
            <v>TOYO 1ST</v>
          </cell>
          <cell r="E156">
            <v>22119.677419354837</v>
          </cell>
          <cell r="F156" t="str">
            <v>INJ.MOULD. M/C V</v>
          </cell>
          <cell r="G156" t="str">
            <v>Blue</v>
          </cell>
        </row>
        <row r="157">
          <cell r="B157" t="str">
            <v>S25038-001A0X</v>
          </cell>
          <cell r="D157" t="str">
            <v>TOYO 2ND</v>
          </cell>
          <cell r="E157">
            <v>7344.7741935483882</v>
          </cell>
          <cell r="F157" t="str">
            <v>INJ.MOULD. M/C(</v>
          </cell>
          <cell r="G157" t="str">
            <v>White</v>
          </cell>
        </row>
        <row r="158">
          <cell r="B158" t="str">
            <v>S25026-003A0X</v>
          </cell>
          <cell r="D158" t="str">
            <v>TOYO 2ND</v>
          </cell>
          <cell r="E158">
            <v>79.838709677419359</v>
          </cell>
          <cell r="F158" t="str">
            <v>INJ.MOULD. M/C V</v>
          </cell>
          <cell r="G158" t="str">
            <v>Black</v>
          </cell>
        </row>
        <row r="159">
          <cell r="B159" t="str">
            <v>S21174-012A0X</v>
          </cell>
          <cell r="D159" t="str">
            <v>TOYO 3RD</v>
          </cell>
          <cell r="E159">
            <v>28041.774193548386</v>
          </cell>
          <cell r="F159" t="str">
            <v>INJ.MOULD. M/C(</v>
          </cell>
          <cell r="G159" t="str">
            <v>White</v>
          </cell>
        </row>
        <row r="160">
          <cell r="B160" t="str">
            <v>S21174-012A0X</v>
          </cell>
          <cell r="D160" t="str">
            <v>TOYO 4TH</v>
          </cell>
          <cell r="E160">
            <v>28041.774193548386</v>
          </cell>
          <cell r="F160" t="str">
            <v>INJ.MOULD. M/C(</v>
          </cell>
          <cell r="G160" t="str">
            <v>White</v>
          </cell>
        </row>
        <row r="161">
          <cell r="B161" t="str">
            <v>14SW220201-00010X0</v>
          </cell>
          <cell r="D161" t="str">
            <v>TOYO 5TH</v>
          </cell>
          <cell r="E161">
            <v>10746.870967741936</v>
          </cell>
          <cell r="F161" t="str">
            <v>INJ.MOULD. M/C V</v>
          </cell>
          <cell r="G161" t="str">
            <v>White</v>
          </cell>
        </row>
        <row r="162">
          <cell r="B162" t="str">
            <v>14SW250069-00001X0</v>
          </cell>
          <cell r="D162" t="str">
            <v>TOYO 6TH</v>
          </cell>
          <cell r="E162">
            <v>1295.3225806451612</v>
          </cell>
          <cell r="F162" t="str">
            <v>INJ.MOULD. M/C V</v>
          </cell>
          <cell r="G162" t="e">
            <v>#N/A</v>
          </cell>
        </row>
        <row r="163">
          <cell r="B163" t="str">
            <v>14SW250068-00003X0</v>
          </cell>
          <cell r="D163" t="str">
            <v>TOYO 6TH</v>
          </cell>
          <cell r="E163">
            <v>2507.4193548387093</v>
          </cell>
          <cell r="F163" t="str">
            <v>INJ.MOULD. M/C V</v>
          </cell>
          <cell r="G163" t="str">
            <v>Black</v>
          </cell>
        </row>
        <row r="164">
          <cell r="B164" t="str">
            <v>14SW250069-00002X1</v>
          </cell>
          <cell r="D164" t="str">
            <v>TOYO 6TH</v>
          </cell>
          <cell r="E164" t="e">
            <v>#N/A</v>
          </cell>
          <cell r="F164" t="e">
            <v>#N/A</v>
          </cell>
          <cell r="G164" t="e">
            <v>#N/A</v>
          </cell>
        </row>
        <row r="165">
          <cell r="B165" t="str">
            <v>14SW220207-00003X0</v>
          </cell>
          <cell r="D165" t="str">
            <v>TOYO 6TH</v>
          </cell>
          <cell r="E165">
            <v>5857.1612903225814</v>
          </cell>
          <cell r="F165" t="str">
            <v>INJ.MOULD. M/C V</v>
          </cell>
          <cell r="G165" t="str">
            <v>White</v>
          </cell>
        </row>
        <row r="166">
          <cell r="B166" t="str">
            <v>S03046-005A0X</v>
          </cell>
          <cell r="D166" t="str">
            <v>TOYO 7TH</v>
          </cell>
          <cell r="E166">
            <v>2249.2258064516127</v>
          </cell>
          <cell r="F166" t="str">
            <v>INJ.MOULD. M/C(</v>
          </cell>
          <cell r="G166" t="str">
            <v>Black</v>
          </cell>
        </row>
        <row r="167">
          <cell r="B167" t="str">
            <v>S01100-004A9X</v>
          </cell>
          <cell r="D167" t="str">
            <v>TOYO 7TH</v>
          </cell>
          <cell r="E167">
            <v>4869.1935483870966</v>
          </cell>
          <cell r="F167" t="str">
            <v>INJ.MOULD. M/C(</v>
          </cell>
          <cell r="G167" t="str">
            <v>Black</v>
          </cell>
        </row>
        <row r="168">
          <cell r="B168" t="str">
            <v>S12052-003A0X</v>
          </cell>
          <cell r="D168" t="str">
            <v>TOYO 7TH</v>
          </cell>
          <cell r="E168">
            <v>665.0322580645161</v>
          </cell>
          <cell r="F168" t="str">
            <v>INJ.MOULD. M/C V</v>
          </cell>
          <cell r="G168" t="str">
            <v>Black</v>
          </cell>
        </row>
        <row r="169">
          <cell r="B169" t="str">
            <v>S13110-005A0X</v>
          </cell>
          <cell r="D169" t="str">
            <v>TOYO 7TH</v>
          </cell>
          <cell r="E169">
            <v>1706.516129032258</v>
          </cell>
          <cell r="F169" t="str">
            <v>INJ.MOULD. M/C V</v>
          </cell>
          <cell r="G169" t="str">
            <v>Black</v>
          </cell>
        </row>
        <row r="170">
          <cell r="B170" t="str">
            <v>S12087-004A0X</v>
          </cell>
          <cell r="D170" t="str">
            <v>TOYO 80T 2ND</v>
          </cell>
          <cell r="E170">
            <v>1017.1935483870968</v>
          </cell>
          <cell r="F170" t="str">
            <v>INJ.MOULD. M/C V</v>
          </cell>
          <cell r="G170" t="str">
            <v>Black</v>
          </cell>
        </row>
        <row r="171">
          <cell r="B171" t="str">
            <v>S12100-003A0X</v>
          </cell>
          <cell r="D171" t="str">
            <v>TOYO 80T 1ST</v>
          </cell>
          <cell r="E171">
            <v>8150.3225806451619</v>
          </cell>
          <cell r="F171" t="str">
            <v>INJ.MOULD. M/C(</v>
          </cell>
          <cell r="G171" t="str">
            <v>Black</v>
          </cell>
        </row>
        <row r="172">
          <cell r="B172" t="str">
            <v>S33105-016A0X</v>
          </cell>
          <cell r="D172" t="str">
            <v>TOYO 80T 2ND</v>
          </cell>
          <cell r="E172">
            <v>1226.4193548387098</v>
          </cell>
          <cell r="F172" t="str">
            <v>INJ.MOULD. M/C(</v>
          </cell>
          <cell r="G172" t="str">
            <v>Black</v>
          </cell>
        </row>
        <row r="173">
          <cell r="B173" t="str">
            <v>14SW330127-00008X0</v>
          </cell>
          <cell r="D173" t="str">
            <v>TOYO 80T 2ND</v>
          </cell>
          <cell r="E173">
            <v>782.41935483870975</v>
          </cell>
          <cell r="F173" t="str">
            <v>INJ.MOULD. M/C(</v>
          </cell>
          <cell r="G173" t="str">
            <v>Black</v>
          </cell>
        </row>
        <row r="174">
          <cell r="B174" t="str">
            <v>S33106-009A0X</v>
          </cell>
          <cell r="D174" t="str">
            <v>TOYO 80T 1ST</v>
          </cell>
          <cell r="E174">
            <v>63.87096774193548</v>
          </cell>
          <cell r="F174" t="str">
            <v>INJ.MOULD. M/C(</v>
          </cell>
          <cell r="G174" t="str">
            <v>Black</v>
          </cell>
        </row>
        <row r="175">
          <cell r="B175" t="str">
            <v>S13108-002A0X</v>
          </cell>
          <cell r="D175" t="str">
            <v>TOYO 80T 2ND</v>
          </cell>
          <cell r="E175">
            <v>15621.096774193549</v>
          </cell>
          <cell r="F175" t="str">
            <v>INJ.MOULD. M/C(</v>
          </cell>
          <cell r="G175" t="str">
            <v>Black</v>
          </cell>
        </row>
        <row r="176">
          <cell r="B176" t="str">
            <v>S22127-003A0X</v>
          </cell>
          <cell r="D176" t="str">
            <v>JSW 1ST</v>
          </cell>
          <cell r="E176">
            <v>15855.774193548386</v>
          </cell>
          <cell r="F176" t="str">
            <v>INJ.MOULD. M/C V</v>
          </cell>
          <cell r="G176" t="str">
            <v>Black</v>
          </cell>
        </row>
        <row r="177">
          <cell r="B177" t="str">
            <v>S03058-002A0X</v>
          </cell>
          <cell r="D177" t="str">
            <v>YUDEK 1ST</v>
          </cell>
          <cell r="E177">
            <v>14191.645161290324</v>
          </cell>
          <cell r="F177" t="str">
            <v>INJ.MOULD. M/C (YUDEK)V</v>
          </cell>
          <cell r="G177" t="str">
            <v>White</v>
          </cell>
        </row>
        <row r="178">
          <cell r="B178" t="str">
            <v>S03062-001A0X</v>
          </cell>
          <cell r="D178" t="str">
            <v>YUDEK 1ST</v>
          </cell>
          <cell r="E178" t="e">
            <v>#N/A</v>
          </cell>
          <cell r="F178" t="e">
            <v>#N/A</v>
          </cell>
          <cell r="G178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1F3A-917C-4E15-B913-91965FB6F290}">
  <dimension ref="A1:P75"/>
  <sheetViews>
    <sheetView tabSelected="1" workbookViewId="0">
      <selection activeCell="F9" sqref="F9"/>
    </sheetView>
  </sheetViews>
  <sheetFormatPr defaultRowHeight="15" x14ac:dyDescent="0.25"/>
  <cols>
    <col min="1" max="1" width="10.42578125" style="2" bestFit="1" customWidth="1"/>
    <col min="2" max="2" width="23" style="2" customWidth="1"/>
    <col min="3" max="8" width="23.85546875" style="2" customWidth="1"/>
    <col min="9" max="9" width="30.42578125" style="2" customWidth="1"/>
    <col min="10" max="10" width="44.5703125" style="2" customWidth="1"/>
    <col min="11" max="11" width="33.140625" style="2" customWidth="1"/>
    <col min="12" max="12" width="21.7109375" style="2" customWidth="1"/>
    <col min="13" max="13" width="17.42578125" style="2" customWidth="1"/>
    <col min="14" max="14" width="18.85546875" style="2" customWidth="1"/>
    <col min="15" max="15" width="17.85546875" style="2" customWidth="1"/>
    <col min="16" max="16" width="16.7109375" style="2" customWidth="1"/>
  </cols>
  <sheetData>
    <row r="1" spans="1:16" x14ac:dyDescent="0.25">
      <c r="A1" s="4" t="s">
        <v>1</v>
      </c>
      <c r="B1" s="5" t="s">
        <v>2</v>
      </c>
      <c r="C1" s="5" t="s">
        <v>3</v>
      </c>
      <c r="D1" s="5" t="s">
        <v>76</v>
      </c>
      <c r="E1" s="9" t="s">
        <v>59</v>
      </c>
      <c r="F1" s="9" t="s">
        <v>60</v>
      </c>
      <c r="G1" s="9" t="s">
        <v>61</v>
      </c>
      <c r="H1" s="5" t="s">
        <v>15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14</v>
      </c>
      <c r="N1" s="5" t="s">
        <v>8</v>
      </c>
      <c r="O1" s="5" t="s">
        <v>9</v>
      </c>
      <c r="P1" s="5" t="s">
        <v>10</v>
      </c>
    </row>
    <row r="2" spans="1:16" x14ac:dyDescent="0.25">
      <c r="A2" s="3">
        <v>46024</v>
      </c>
      <c r="B2" s="2" t="s">
        <v>11</v>
      </c>
      <c r="C2" s="1" t="s">
        <v>21</v>
      </c>
      <c r="D2" s="6" t="str">
        <f>VLOOKUP(C2, '[2]Summery sheet'!B:G, 6, FALSE)</f>
        <v>White</v>
      </c>
      <c r="E2" s="6">
        <f>VLOOKUP(C2, [1]VT!C:G, 5, FALSE)</f>
        <v>15</v>
      </c>
      <c r="F2" s="6">
        <f>VLOOKUP(C2, [1]VT!C:H, 6, FALSE)</f>
        <v>90</v>
      </c>
      <c r="G2" s="6">
        <f>VLOOKUP(C2, [1]VT!C:I, 7, FALSE)</f>
        <v>6</v>
      </c>
      <c r="H2" s="2" t="s">
        <v>16</v>
      </c>
      <c r="I2" s="2" t="s">
        <v>24</v>
      </c>
      <c r="J2" s="2" t="s">
        <v>24</v>
      </c>
      <c r="K2" s="2">
        <v>90</v>
      </c>
      <c r="L2" s="2">
        <v>6</v>
      </c>
      <c r="M2" s="2">
        <v>768</v>
      </c>
      <c r="N2" s="2">
        <v>669</v>
      </c>
      <c r="O2" s="2">
        <v>21</v>
      </c>
      <c r="P2" s="2">
        <v>0</v>
      </c>
    </row>
    <row r="3" spans="1:16" x14ac:dyDescent="0.25">
      <c r="A3" s="3">
        <v>46024</v>
      </c>
      <c r="B3" s="2" t="s">
        <v>11</v>
      </c>
      <c r="C3" s="1" t="s">
        <v>22</v>
      </c>
      <c r="D3" s="6" t="str">
        <f>VLOOKUP(C3, '[2]Summery sheet'!B:G, 6, FALSE)</f>
        <v>White</v>
      </c>
      <c r="E3" s="6">
        <f>VLOOKUP(C3, [1]VT!C:G, 5, FALSE)</f>
        <v>16</v>
      </c>
      <c r="F3" s="6">
        <f>VLOOKUP(C3, [1]VT!C:H, 6, FALSE)</f>
        <v>64</v>
      </c>
      <c r="G3" s="6">
        <f>VLOOKUP(C3, [1]VT!C:I, 7, FALSE)</f>
        <v>4</v>
      </c>
      <c r="H3" s="2" t="s">
        <v>16</v>
      </c>
      <c r="I3" s="2" t="s">
        <v>25</v>
      </c>
      <c r="J3" s="2" t="s">
        <v>25</v>
      </c>
      <c r="K3" s="2">
        <v>80</v>
      </c>
      <c r="L3" s="2">
        <v>4</v>
      </c>
      <c r="M3" s="2">
        <v>320</v>
      </c>
      <c r="N3" s="2">
        <v>257</v>
      </c>
      <c r="O3" s="2">
        <v>23</v>
      </c>
      <c r="P3" s="2">
        <v>0</v>
      </c>
    </row>
    <row r="4" spans="1:16" x14ac:dyDescent="0.25">
      <c r="A4" s="3">
        <v>46024</v>
      </c>
      <c r="B4" s="2" t="s">
        <v>11</v>
      </c>
      <c r="C4" s="1" t="s">
        <v>22</v>
      </c>
      <c r="D4" s="6" t="str">
        <f>VLOOKUP(C4, '[2]Summery sheet'!B:G, 6, FALSE)</f>
        <v>White</v>
      </c>
      <c r="E4" s="6">
        <f>VLOOKUP(C4, [1]VT!C:G, 5, FALSE)</f>
        <v>16</v>
      </c>
      <c r="F4" s="6">
        <f>VLOOKUP(C4, [1]VT!C:H, 6, FALSE)</f>
        <v>64</v>
      </c>
      <c r="G4" s="6">
        <f>VLOOKUP(C4, [1]VT!C:I, 7, FALSE)</f>
        <v>4</v>
      </c>
      <c r="H4" s="2" t="s">
        <v>17</v>
      </c>
      <c r="I4" s="2" t="s">
        <v>25</v>
      </c>
      <c r="J4" s="2" t="s">
        <v>25</v>
      </c>
      <c r="K4" s="2">
        <v>80</v>
      </c>
      <c r="L4" s="2">
        <v>4</v>
      </c>
      <c r="M4" s="2">
        <v>320</v>
      </c>
      <c r="N4" s="2">
        <v>280</v>
      </c>
      <c r="O4" s="2">
        <v>6</v>
      </c>
      <c r="P4" s="2">
        <v>0</v>
      </c>
    </row>
    <row r="5" spans="1:16" x14ac:dyDescent="0.25">
      <c r="A5" s="3">
        <v>46024</v>
      </c>
      <c r="B5" s="2" t="s">
        <v>11</v>
      </c>
      <c r="C5" s="1" t="s">
        <v>12</v>
      </c>
      <c r="D5" s="6" t="str">
        <f>VLOOKUP(C5, '[2]Summery sheet'!B:G, 6, FALSE)</f>
        <v>White</v>
      </c>
      <c r="E5" s="6">
        <f>VLOOKUP(C5, [1]VT!C:G, 5, FALSE)</f>
        <v>64</v>
      </c>
      <c r="F5" s="6">
        <f>VLOOKUP(C5, [1]VT!C:H, 6, FALSE)</f>
        <v>384</v>
      </c>
      <c r="G5" s="6">
        <f>VLOOKUP(C5, [1]VT!C:I, 7, FALSE)</f>
        <v>6</v>
      </c>
      <c r="H5" s="2" t="s">
        <v>17</v>
      </c>
      <c r="I5" s="2" t="s">
        <v>23</v>
      </c>
      <c r="J5" s="2" t="s">
        <v>13</v>
      </c>
      <c r="K5" s="2">
        <v>80</v>
      </c>
      <c r="L5" s="2">
        <v>3</v>
      </c>
      <c r="M5" s="2">
        <v>576</v>
      </c>
      <c r="N5" s="2">
        <v>382</v>
      </c>
      <c r="O5" s="2">
        <v>30</v>
      </c>
      <c r="P5" s="2">
        <v>0</v>
      </c>
    </row>
    <row r="6" spans="1:16" x14ac:dyDescent="0.25">
      <c r="A6" s="3">
        <v>46024</v>
      </c>
      <c r="B6" s="2" t="s">
        <v>20</v>
      </c>
      <c r="C6" s="1" t="s">
        <v>26</v>
      </c>
      <c r="D6" s="6" t="str">
        <f>VLOOKUP(C6, '[2]Summery sheet'!B:G, 6, FALSE)</f>
        <v>Black</v>
      </c>
      <c r="E6" s="6">
        <f>VLOOKUP(C6, [1]VT!C:G, 5, FALSE)</f>
        <v>40</v>
      </c>
      <c r="F6" s="6">
        <f>VLOOKUP(C6, [1]VT!C:H, 6, FALSE)</f>
        <v>200</v>
      </c>
      <c r="G6" s="6">
        <f>VLOOKUP(C6, [1]VT!C:I, 7, FALSE)</f>
        <v>5</v>
      </c>
      <c r="H6" s="2" t="s">
        <v>16</v>
      </c>
      <c r="I6" s="2" t="s">
        <v>28</v>
      </c>
      <c r="J6" s="2" t="s">
        <v>28</v>
      </c>
      <c r="K6" s="2">
        <v>140</v>
      </c>
      <c r="L6" s="2">
        <v>7</v>
      </c>
      <c r="M6" s="2">
        <v>1400</v>
      </c>
      <c r="N6" s="2">
        <v>1578</v>
      </c>
      <c r="O6" s="2">
        <v>10</v>
      </c>
      <c r="P6" s="2">
        <v>0</v>
      </c>
    </row>
    <row r="7" spans="1:16" x14ac:dyDescent="0.25">
      <c r="A7" s="3">
        <v>46024</v>
      </c>
      <c r="B7" s="2" t="s">
        <v>20</v>
      </c>
      <c r="C7" s="1" t="s">
        <v>26</v>
      </c>
      <c r="D7" s="6" t="str">
        <f>VLOOKUP(C7, '[2]Summery sheet'!B:G, 6, FALSE)</f>
        <v>Black</v>
      </c>
      <c r="E7" s="6">
        <f>VLOOKUP(C7, [1]VT!C:G, 5, FALSE)</f>
        <v>40</v>
      </c>
      <c r="F7" s="6">
        <f>VLOOKUP(C7, [1]VT!C:H, 6, FALSE)</f>
        <v>200</v>
      </c>
      <c r="G7" s="6">
        <f>VLOOKUP(C7, [1]VT!C:I, 7, FALSE)</f>
        <v>5</v>
      </c>
      <c r="H7" s="2" t="s">
        <v>17</v>
      </c>
      <c r="I7" s="2" t="s">
        <v>28</v>
      </c>
      <c r="J7" s="2" t="s">
        <v>28</v>
      </c>
      <c r="K7" s="2">
        <v>140</v>
      </c>
      <c r="L7" s="2">
        <v>3</v>
      </c>
      <c r="M7" s="2">
        <v>600</v>
      </c>
      <c r="N7" s="2">
        <v>476</v>
      </c>
      <c r="O7" s="2">
        <v>14</v>
      </c>
      <c r="P7" s="2">
        <v>0</v>
      </c>
    </row>
    <row r="8" spans="1:16" x14ac:dyDescent="0.25">
      <c r="A8" s="3">
        <v>46024</v>
      </c>
      <c r="B8" s="2" t="s">
        <v>20</v>
      </c>
      <c r="C8" s="1" t="s">
        <v>27</v>
      </c>
      <c r="D8" s="6" t="str">
        <f>VLOOKUP(C8, '[2]Summery sheet'!B:G, 6, FALSE)</f>
        <v>Black</v>
      </c>
      <c r="E8" s="6">
        <f>VLOOKUP(C8, [1]VT!C:G, 5, FALSE)</f>
        <v>10</v>
      </c>
      <c r="F8" s="6">
        <f>VLOOKUP(C8, [1]VT!C:H, 6, FALSE)</f>
        <v>100</v>
      </c>
      <c r="G8" s="6">
        <f>VLOOKUP(C8, [1]VT!C:I, 7, FALSE)</f>
        <v>10</v>
      </c>
      <c r="H8" s="2" t="s">
        <v>17</v>
      </c>
      <c r="I8" s="2" t="s">
        <v>25</v>
      </c>
      <c r="J8" s="2" t="s">
        <v>25</v>
      </c>
      <c r="K8" s="2">
        <v>80</v>
      </c>
      <c r="L8" s="2">
        <v>4</v>
      </c>
      <c r="M8" s="2">
        <v>560</v>
      </c>
      <c r="N8" s="2">
        <v>508</v>
      </c>
      <c r="O8" s="2">
        <v>22</v>
      </c>
      <c r="P8" s="2">
        <v>0</v>
      </c>
    </row>
    <row r="9" spans="1:16" x14ac:dyDescent="0.25">
      <c r="A9" s="3">
        <v>46024</v>
      </c>
      <c r="B9" s="2" t="s">
        <v>29</v>
      </c>
      <c r="C9" s="1" t="s">
        <v>30</v>
      </c>
      <c r="D9" s="6" t="str">
        <f>VLOOKUP(C9, '[2]Summery sheet'!B:G, 6, FALSE)</f>
        <v>Black</v>
      </c>
      <c r="E9" s="6">
        <f>VLOOKUP(C9, [1]VT!C:G, 5, FALSE)</f>
        <v>8</v>
      </c>
      <c r="F9" s="6">
        <f>VLOOKUP(C9, [1]VT!C:H, 6, FALSE)</f>
        <v>32</v>
      </c>
      <c r="G9" s="6">
        <f>VLOOKUP(C9, [1]VT!C:I, 7, FALSE)</f>
        <v>4</v>
      </c>
      <c r="H9" s="2" t="s">
        <v>16</v>
      </c>
      <c r="I9" s="2" t="s">
        <v>31</v>
      </c>
      <c r="J9" s="2" t="s">
        <v>33</v>
      </c>
      <c r="K9" s="2">
        <v>55</v>
      </c>
      <c r="L9" s="2">
        <v>5</v>
      </c>
      <c r="M9" s="2">
        <v>400</v>
      </c>
      <c r="N9" s="2">
        <v>416</v>
      </c>
      <c r="O9" s="2">
        <v>25</v>
      </c>
      <c r="P9" s="2">
        <v>7</v>
      </c>
    </row>
    <row r="10" spans="1:16" x14ac:dyDescent="0.25">
      <c r="A10" s="3">
        <v>46024</v>
      </c>
      <c r="B10" s="2" t="s">
        <v>29</v>
      </c>
      <c r="C10" s="1" t="s">
        <v>73</v>
      </c>
      <c r="D10" s="6" t="e">
        <f>VLOOKUP(C10, '[2]Summery sheet'!B:G, 6, FALSE)</f>
        <v>#N/A</v>
      </c>
      <c r="E10" s="6">
        <f>VLOOKUP(C10, [1]VT!C:G, 5, FALSE)</f>
        <v>104</v>
      </c>
      <c r="F10" s="6">
        <f>VLOOKUP(C10, [1]VT!C:H, 6, FALSE)</f>
        <v>520</v>
      </c>
      <c r="G10" s="6">
        <f>VLOOKUP(C10, [1]VT!C:I, 7, FALSE)</f>
        <v>5</v>
      </c>
      <c r="H10" s="2" t="s">
        <v>17</v>
      </c>
      <c r="I10" s="2" t="s">
        <v>32</v>
      </c>
      <c r="J10" s="2" t="s">
        <v>32</v>
      </c>
      <c r="K10" s="2">
        <v>90</v>
      </c>
      <c r="L10" s="2">
        <v>1</v>
      </c>
      <c r="M10" s="2">
        <v>520</v>
      </c>
      <c r="N10" s="2">
        <v>540</v>
      </c>
      <c r="O10" s="2">
        <v>15</v>
      </c>
      <c r="P10" s="2">
        <v>0</v>
      </c>
    </row>
    <row r="11" spans="1:16" x14ac:dyDescent="0.25">
      <c r="A11" s="3">
        <v>46024</v>
      </c>
      <c r="B11" s="2" t="s">
        <v>29</v>
      </c>
      <c r="C11" s="1" t="s">
        <v>73</v>
      </c>
      <c r="D11" s="6" t="e">
        <f>VLOOKUP(C11, '[2]Summery sheet'!B:G, 6, FALSE)</f>
        <v>#N/A</v>
      </c>
      <c r="E11" s="6">
        <f>VLOOKUP(C11, [1]VT!C:G, 5, FALSE)</f>
        <v>104</v>
      </c>
      <c r="F11" s="6">
        <f>VLOOKUP(C11, [1]VT!C:H, 6, FALSE)</f>
        <v>520</v>
      </c>
      <c r="G11" s="6">
        <f>VLOOKUP(C11, [1]VT!C:I, 7, FALSE)</f>
        <v>5</v>
      </c>
      <c r="H11" s="2" t="s">
        <v>17</v>
      </c>
      <c r="I11" s="2" t="s">
        <v>32</v>
      </c>
      <c r="J11" s="2" t="s">
        <v>32</v>
      </c>
      <c r="K11" s="2">
        <v>70</v>
      </c>
      <c r="L11" s="2">
        <v>2</v>
      </c>
      <c r="M11" s="2">
        <v>1040</v>
      </c>
      <c r="N11" s="2">
        <v>957</v>
      </c>
      <c r="O11" s="2">
        <v>47</v>
      </c>
      <c r="P11" s="2">
        <v>0</v>
      </c>
    </row>
    <row r="12" spans="1:16" x14ac:dyDescent="0.25">
      <c r="A12" s="3">
        <v>46024</v>
      </c>
      <c r="B12" s="2" t="s">
        <v>36</v>
      </c>
      <c r="C12" s="1" t="s">
        <v>37</v>
      </c>
      <c r="D12" s="6" t="str">
        <f>VLOOKUP(C12, '[2]Summery sheet'!B:G, 6, FALSE)</f>
        <v>Black</v>
      </c>
      <c r="E12" s="6">
        <f>VLOOKUP(C12, [1]VT!C:G, 5, FALSE)</f>
        <v>32</v>
      </c>
      <c r="F12" s="6">
        <f>VLOOKUP(C12, [1]VT!C:H, 6, FALSE)</f>
        <v>192</v>
      </c>
      <c r="G12" s="6">
        <f>VLOOKUP(C12, [1]VT!C:I, 7, FALSE)</f>
        <v>6</v>
      </c>
      <c r="H12" s="2" t="s">
        <v>16</v>
      </c>
      <c r="I12" s="2" t="s">
        <v>23</v>
      </c>
      <c r="J12" s="2" t="s">
        <v>39</v>
      </c>
      <c r="K12" s="2">
        <v>80</v>
      </c>
      <c r="L12" s="2">
        <v>2</v>
      </c>
      <c r="M12" s="2">
        <v>320</v>
      </c>
      <c r="N12" s="2">
        <v>314</v>
      </c>
      <c r="O12" s="2">
        <v>20</v>
      </c>
      <c r="P12" s="2">
        <v>0</v>
      </c>
    </row>
    <row r="13" spans="1:16" x14ac:dyDescent="0.25">
      <c r="A13" s="3">
        <v>46024</v>
      </c>
      <c r="B13" s="2" t="s">
        <v>36</v>
      </c>
      <c r="C13" s="1" t="s">
        <v>38</v>
      </c>
      <c r="D13" s="6" t="str">
        <f>VLOOKUP(C13, '[2]Summery sheet'!B:G, 6, FALSE)</f>
        <v>Brown</v>
      </c>
      <c r="E13" s="6">
        <f>VLOOKUP(C13, [1]VT!C:G, 5, FALSE)</f>
        <v>32</v>
      </c>
      <c r="F13" s="6">
        <f>VLOOKUP(C13, [1]VT!C:H, 6, FALSE)</f>
        <v>192</v>
      </c>
      <c r="G13" s="6">
        <f>VLOOKUP(C13, [1]VT!C:I, 7, FALSE)</f>
        <v>6</v>
      </c>
      <c r="H13" s="2" t="s">
        <v>16</v>
      </c>
      <c r="I13" s="2" t="s">
        <v>28</v>
      </c>
      <c r="J13" s="2" t="s">
        <v>28</v>
      </c>
      <c r="K13" s="2">
        <v>140</v>
      </c>
      <c r="L13" s="2">
        <v>3</v>
      </c>
      <c r="M13" s="2">
        <v>576</v>
      </c>
      <c r="N13" s="2">
        <v>649</v>
      </c>
      <c r="O13" s="2">
        <v>7</v>
      </c>
      <c r="P13" s="2">
        <v>0</v>
      </c>
    </row>
    <row r="14" spans="1:16" x14ac:dyDescent="0.25">
      <c r="A14" s="3">
        <v>46024</v>
      </c>
      <c r="B14" s="2" t="s">
        <v>36</v>
      </c>
      <c r="C14" s="1" t="s">
        <v>38</v>
      </c>
      <c r="D14" s="6" t="str">
        <f>VLOOKUP(C14, '[2]Summery sheet'!B:G, 6, FALSE)</f>
        <v>Brown</v>
      </c>
      <c r="E14" s="6">
        <f>VLOOKUP(C14, [1]VT!C:G, 5, FALSE)</f>
        <v>32</v>
      </c>
      <c r="F14" s="6">
        <f>VLOOKUP(C14, [1]VT!C:H, 6, FALSE)</f>
        <v>192</v>
      </c>
      <c r="G14" s="6">
        <f>VLOOKUP(C14, [1]VT!C:I, 7, FALSE)</f>
        <v>6</v>
      </c>
      <c r="H14" s="2" t="s">
        <v>17</v>
      </c>
      <c r="I14" s="2" t="s">
        <v>28</v>
      </c>
      <c r="J14" s="2" t="s">
        <v>28</v>
      </c>
      <c r="K14" s="2">
        <v>140</v>
      </c>
      <c r="L14" s="2">
        <v>3</v>
      </c>
      <c r="M14" s="2">
        <v>576</v>
      </c>
      <c r="N14" s="2">
        <v>690</v>
      </c>
      <c r="O14" s="2">
        <v>10</v>
      </c>
      <c r="P14" s="2">
        <v>0</v>
      </c>
    </row>
    <row r="15" spans="1:16" x14ac:dyDescent="0.25">
      <c r="A15" s="3">
        <v>46024</v>
      </c>
      <c r="B15" s="2" t="s">
        <v>36</v>
      </c>
      <c r="C15" s="10" t="s">
        <v>70</v>
      </c>
      <c r="D15" s="6" t="e">
        <f>VLOOKUP(C15, '[2]Summery sheet'!B:G, 6, FALSE)</f>
        <v>#N/A</v>
      </c>
      <c r="E15" s="6">
        <f>VLOOKUP(C15, [1]VT!C:G, 5, FALSE)</f>
        <v>20</v>
      </c>
      <c r="F15" s="6">
        <f>VLOOKUP(C15, [1]VT!C:H, 6, FALSE)</f>
        <v>160</v>
      </c>
      <c r="G15" s="6">
        <f>VLOOKUP(C15, [1]VT!C:I, 7, FALSE)</f>
        <v>8</v>
      </c>
      <c r="H15" s="2" t="s">
        <v>17</v>
      </c>
      <c r="I15" s="2" t="s">
        <v>32</v>
      </c>
      <c r="J15" s="2" t="s">
        <v>40</v>
      </c>
      <c r="K15" s="2">
        <v>90</v>
      </c>
      <c r="L15" s="2">
        <v>3</v>
      </c>
      <c r="M15" s="2">
        <v>480</v>
      </c>
      <c r="N15" s="2">
        <v>348</v>
      </c>
      <c r="O15" s="2">
        <v>18</v>
      </c>
      <c r="P15" s="2">
        <v>0</v>
      </c>
    </row>
    <row r="16" spans="1:16" x14ac:dyDescent="0.25">
      <c r="A16" s="3">
        <v>46025</v>
      </c>
      <c r="B16" s="2" t="s">
        <v>11</v>
      </c>
      <c r="C16" s="1" t="s">
        <v>12</v>
      </c>
      <c r="D16" s="6" t="str">
        <f>VLOOKUP(C16, '[2]Summery sheet'!B:G, 6, FALSE)</f>
        <v>White</v>
      </c>
      <c r="E16" s="6">
        <f>VLOOKUP(C16, [1]VT!C:G, 5, FALSE)</f>
        <v>64</v>
      </c>
      <c r="F16" s="6">
        <f>VLOOKUP(C16, [1]VT!C:H, 6, FALSE)</f>
        <v>384</v>
      </c>
      <c r="G16" s="6">
        <f>VLOOKUP(C16, [1]VT!C:I, 7, FALSE)</f>
        <v>6</v>
      </c>
      <c r="H16" s="6" t="s">
        <v>16</v>
      </c>
      <c r="I16" s="2" t="s">
        <v>23</v>
      </c>
      <c r="J16" s="2" t="s">
        <v>13</v>
      </c>
      <c r="K16" s="2">
        <v>80</v>
      </c>
      <c r="L16" s="2">
        <v>3</v>
      </c>
      <c r="M16" s="2">
        <v>576</v>
      </c>
      <c r="N16" s="2">
        <v>654</v>
      </c>
      <c r="O16" s="2">
        <v>34</v>
      </c>
      <c r="P16" s="2">
        <v>0</v>
      </c>
    </row>
    <row r="17" spans="1:16" x14ac:dyDescent="0.25">
      <c r="A17" s="3">
        <v>46025</v>
      </c>
      <c r="B17" s="2" t="s">
        <v>11</v>
      </c>
      <c r="C17" s="1" t="s">
        <v>18</v>
      </c>
      <c r="D17" s="6" t="str">
        <f>VLOOKUP(C17, '[2]Summery sheet'!B:G, 6, FALSE)</f>
        <v>White</v>
      </c>
      <c r="E17" s="6">
        <f>VLOOKUP(C17, [1]VT!C:G, 5, FALSE)</f>
        <v>8</v>
      </c>
      <c r="F17" s="6">
        <f>VLOOKUP(C17, [1]VT!C:H, 6, FALSE)</f>
        <v>40</v>
      </c>
      <c r="G17" s="6">
        <f>VLOOKUP(C17, [1]VT!C:I, 7, FALSE)</f>
        <v>5</v>
      </c>
      <c r="H17" s="2" t="s">
        <v>17</v>
      </c>
      <c r="I17" s="2" t="s">
        <v>19</v>
      </c>
      <c r="J17" s="2" t="s">
        <v>19</v>
      </c>
      <c r="K17" s="2">
        <v>100</v>
      </c>
      <c r="L17" s="2">
        <v>25</v>
      </c>
      <c r="M17" s="2">
        <v>1000</v>
      </c>
      <c r="N17" s="2">
        <v>942</v>
      </c>
      <c r="O17" s="2">
        <v>36</v>
      </c>
      <c r="P17" s="2">
        <v>0</v>
      </c>
    </row>
    <row r="18" spans="1:16" x14ac:dyDescent="0.25">
      <c r="A18" s="3">
        <v>46025</v>
      </c>
      <c r="B18" s="2" t="s">
        <v>20</v>
      </c>
      <c r="C18" s="1" t="s">
        <v>27</v>
      </c>
      <c r="D18" s="6" t="str">
        <f>VLOOKUP(C18, '[2]Summery sheet'!B:G, 6, FALSE)</f>
        <v>Black</v>
      </c>
      <c r="E18" s="6">
        <f>VLOOKUP(C18, [1]VT!C:G, 5, FALSE)</f>
        <v>10</v>
      </c>
      <c r="F18" s="6">
        <f>VLOOKUP(C18, [1]VT!C:H, 6, FALSE)</f>
        <v>100</v>
      </c>
      <c r="G18" s="6">
        <f>VLOOKUP(C18, [1]VT!C:I, 7, FALSE)</f>
        <v>10</v>
      </c>
      <c r="H18" s="2" t="s">
        <v>16</v>
      </c>
      <c r="I18" s="2" t="s">
        <v>25</v>
      </c>
      <c r="J18" s="2" t="s">
        <v>25</v>
      </c>
      <c r="K18" s="2">
        <v>80</v>
      </c>
      <c r="L18" s="2">
        <v>5</v>
      </c>
      <c r="M18" s="2">
        <v>400</v>
      </c>
      <c r="N18" s="2">
        <v>287</v>
      </c>
      <c r="O18" s="2">
        <v>29</v>
      </c>
      <c r="P18" s="2">
        <v>15</v>
      </c>
    </row>
    <row r="19" spans="1:16" x14ac:dyDescent="0.25">
      <c r="A19" s="3">
        <v>46025</v>
      </c>
      <c r="B19" s="2" t="s">
        <v>20</v>
      </c>
      <c r="C19" s="1" t="s">
        <v>27</v>
      </c>
      <c r="D19" s="6" t="str">
        <f>VLOOKUP(C19, '[2]Summery sheet'!B:G, 6, FALSE)</f>
        <v>Black</v>
      </c>
      <c r="E19" s="6">
        <f>VLOOKUP(C19, [1]VT!C:G, 5, FALSE)</f>
        <v>10</v>
      </c>
      <c r="F19" s="6">
        <f>VLOOKUP(C19, [1]VT!C:H, 6, FALSE)</f>
        <v>100</v>
      </c>
      <c r="G19" s="6">
        <f>VLOOKUP(C19, [1]VT!C:I, 7, FALSE)</f>
        <v>10</v>
      </c>
      <c r="H19" s="2" t="s">
        <v>17</v>
      </c>
      <c r="I19" s="2" t="s">
        <v>25</v>
      </c>
      <c r="J19" s="2" t="s">
        <v>25</v>
      </c>
      <c r="K19" s="2">
        <v>80</v>
      </c>
      <c r="L19" s="2">
        <v>10</v>
      </c>
      <c r="M19" s="2">
        <v>800</v>
      </c>
      <c r="N19" s="2">
        <v>682</v>
      </c>
      <c r="O19" s="2">
        <v>28</v>
      </c>
      <c r="P19" s="2">
        <v>15</v>
      </c>
    </row>
    <row r="20" spans="1:16" x14ac:dyDescent="0.25">
      <c r="A20" s="3">
        <v>46025</v>
      </c>
      <c r="B20" s="2" t="s">
        <v>29</v>
      </c>
      <c r="C20" s="1" t="s">
        <v>34</v>
      </c>
      <c r="D20" s="6" t="str">
        <f>VLOOKUP(C20, '[2]Summery sheet'!B:G, 6, FALSE)</f>
        <v>Black</v>
      </c>
      <c r="E20" s="6">
        <f>VLOOKUP(C20, [1]VT!C:G, 5, FALSE)</f>
        <v>8</v>
      </c>
      <c r="F20" s="6">
        <f>VLOOKUP(C20, [1]VT!C:H, 6, FALSE)</f>
        <v>32</v>
      </c>
      <c r="G20" s="6">
        <f>VLOOKUP(C20, [1]VT!C:I, 7, FALSE)</f>
        <v>4</v>
      </c>
      <c r="H20" s="2" t="s">
        <v>16</v>
      </c>
      <c r="I20" s="2" t="s">
        <v>35</v>
      </c>
      <c r="J20" s="2" t="s">
        <v>35</v>
      </c>
      <c r="K20" s="2">
        <v>30</v>
      </c>
      <c r="L20" s="2">
        <v>21</v>
      </c>
      <c r="M20" s="2">
        <v>160</v>
      </c>
      <c r="N20" s="2">
        <v>301</v>
      </c>
      <c r="O20" s="2">
        <v>24</v>
      </c>
      <c r="P20" s="2">
        <v>0</v>
      </c>
    </row>
    <row r="21" spans="1:16" x14ac:dyDescent="0.25">
      <c r="A21" s="3">
        <v>46025</v>
      </c>
      <c r="B21" s="2" t="s">
        <v>29</v>
      </c>
      <c r="C21" s="1" t="s">
        <v>34</v>
      </c>
      <c r="D21" s="6" t="str">
        <f>VLOOKUP(C21, '[2]Summery sheet'!B:G, 6, FALSE)</f>
        <v>Black</v>
      </c>
      <c r="E21" s="6">
        <f>VLOOKUP(C21, [1]VT!C:G, 5, FALSE)</f>
        <v>8</v>
      </c>
      <c r="F21" s="6">
        <f>VLOOKUP(C21, [1]VT!C:H, 6, FALSE)</f>
        <v>32</v>
      </c>
      <c r="G21" s="6">
        <f>VLOOKUP(C21, [1]VT!C:I, 7, FALSE)</f>
        <v>4</v>
      </c>
      <c r="H21" s="2" t="s">
        <v>17</v>
      </c>
      <c r="I21" s="2" t="s">
        <v>35</v>
      </c>
      <c r="J21" s="2" t="s">
        <v>35</v>
      </c>
      <c r="K21" s="2">
        <v>30</v>
      </c>
      <c r="L21" s="2">
        <v>1</v>
      </c>
      <c r="M21" s="2">
        <v>40</v>
      </c>
      <c r="N21" s="2">
        <v>45</v>
      </c>
      <c r="O21" s="2">
        <v>2</v>
      </c>
      <c r="P21" s="2">
        <v>0</v>
      </c>
    </row>
    <row r="22" spans="1:16" x14ac:dyDescent="0.25">
      <c r="A22" s="3">
        <v>46025</v>
      </c>
      <c r="B22" s="2" t="s">
        <v>29</v>
      </c>
      <c r="C22" s="1" t="s">
        <v>73</v>
      </c>
      <c r="D22" s="6" t="e">
        <f>VLOOKUP(C22, '[2]Summery sheet'!B:G, 6, FALSE)</f>
        <v>#N/A</v>
      </c>
      <c r="E22" s="6">
        <f>VLOOKUP(C22, [1]VT!C:G, 5, FALSE)</f>
        <v>104</v>
      </c>
      <c r="F22" s="6">
        <f>VLOOKUP(C22, [1]VT!C:H, 6, FALSE)</f>
        <v>520</v>
      </c>
      <c r="G22" s="6">
        <f>VLOOKUP(C22, [1]VT!C:I, 7, FALSE)</f>
        <v>5</v>
      </c>
      <c r="H22" s="2" t="s">
        <v>17</v>
      </c>
      <c r="I22" s="2" t="s">
        <v>31</v>
      </c>
      <c r="J22" s="2" t="s">
        <v>32</v>
      </c>
      <c r="K22" s="2">
        <v>55</v>
      </c>
      <c r="N22" s="2">
        <v>696</v>
      </c>
      <c r="O22" s="2">
        <v>50</v>
      </c>
      <c r="P22" s="2">
        <v>0</v>
      </c>
    </row>
    <row r="23" spans="1:16" x14ac:dyDescent="0.25">
      <c r="A23" s="3">
        <v>46025</v>
      </c>
      <c r="B23" s="2" t="s">
        <v>36</v>
      </c>
      <c r="C23" s="10" t="s">
        <v>70</v>
      </c>
      <c r="D23" s="6" t="e">
        <f>VLOOKUP(C23, '[2]Summery sheet'!B:G, 6, FALSE)</f>
        <v>#N/A</v>
      </c>
      <c r="E23" s="6">
        <f>VLOOKUP(C23, [1]VT!C:G, 5, FALSE)</f>
        <v>20</v>
      </c>
      <c r="F23" s="6">
        <f>VLOOKUP(C23, [1]VT!C:H, 6, FALSE)</f>
        <v>160</v>
      </c>
      <c r="G23" s="6">
        <f>VLOOKUP(C23, [1]VT!C:I, 7, FALSE)</f>
        <v>8</v>
      </c>
      <c r="H23" s="2" t="s">
        <v>16</v>
      </c>
      <c r="I23" s="2" t="s">
        <v>32</v>
      </c>
      <c r="J23" s="2" t="s">
        <v>32</v>
      </c>
      <c r="K23" s="2">
        <v>90</v>
      </c>
      <c r="L23" s="2">
        <v>1</v>
      </c>
      <c r="M23" s="2">
        <v>160</v>
      </c>
      <c r="N23" s="2">
        <v>93</v>
      </c>
      <c r="O23" s="2">
        <v>5</v>
      </c>
      <c r="P23" s="2">
        <v>0</v>
      </c>
    </row>
    <row r="24" spans="1:16" x14ac:dyDescent="0.25">
      <c r="A24" s="3">
        <v>46025</v>
      </c>
      <c r="B24" s="2" t="s">
        <v>36</v>
      </c>
      <c r="C24" s="1" t="s">
        <v>0</v>
      </c>
      <c r="D24" s="6" t="str">
        <f>VLOOKUP(C24, '[2]Summery sheet'!B:G, 6, FALSE)</f>
        <v>White</v>
      </c>
      <c r="E24" s="6">
        <f>VLOOKUP(C24, [1]VT!C:G, 5, FALSE)</f>
        <v>20</v>
      </c>
      <c r="F24" s="6">
        <f>VLOOKUP(C24, [1]VT!C:H, 6, FALSE)</f>
        <v>160</v>
      </c>
      <c r="G24" s="6">
        <f>VLOOKUP(C24, [1]VT!C:I, 7, FALSE)</f>
        <v>8</v>
      </c>
      <c r="H24" s="2" t="s">
        <v>16</v>
      </c>
      <c r="I24" s="2" t="s">
        <v>23</v>
      </c>
      <c r="J24" s="2" t="s">
        <v>23</v>
      </c>
      <c r="K24" s="2">
        <v>80</v>
      </c>
      <c r="L24" s="2">
        <v>3</v>
      </c>
      <c r="M24" s="2">
        <v>480</v>
      </c>
      <c r="N24" s="2">
        <v>690</v>
      </c>
      <c r="O24" s="2">
        <v>30</v>
      </c>
      <c r="P24" s="2">
        <v>0</v>
      </c>
    </row>
    <row r="25" spans="1:16" x14ac:dyDescent="0.25">
      <c r="A25" s="3">
        <v>46025</v>
      </c>
      <c r="B25" s="2" t="s">
        <v>36</v>
      </c>
      <c r="C25" s="1" t="s">
        <v>0</v>
      </c>
      <c r="D25" s="6" t="str">
        <f>VLOOKUP(C25, '[2]Summery sheet'!B:G, 6, FALSE)</f>
        <v>White</v>
      </c>
      <c r="E25" s="6">
        <f>VLOOKUP(C25, [1]VT!C:G, 5, FALSE)</f>
        <v>20</v>
      </c>
      <c r="F25" s="6">
        <f>VLOOKUP(C25, [1]VT!C:H, 6, FALSE)</f>
        <v>160</v>
      </c>
      <c r="G25" s="6">
        <f>VLOOKUP(C25, [1]VT!C:I, 7, FALSE)</f>
        <v>8</v>
      </c>
      <c r="H25" s="2" t="s">
        <v>17</v>
      </c>
      <c r="I25" s="2" t="s">
        <v>23</v>
      </c>
      <c r="J25" s="2" t="s">
        <v>23</v>
      </c>
      <c r="K25" s="2">
        <v>80</v>
      </c>
      <c r="L25" s="2">
        <v>6</v>
      </c>
      <c r="M25" s="2">
        <v>780</v>
      </c>
      <c r="N25" s="2">
        <v>784</v>
      </c>
      <c r="O25" s="2">
        <v>38</v>
      </c>
      <c r="P25" s="2">
        <v>0</v>
      </c>
    </row>
    <row r="26" spans="1:16" x14ac:dyDescent="0.25">
      <c r="A26" s="3">
        <v>46026</v>
      </c>
      <c r="B26" s="2" t="s">
        <v>11</v>
      </c>
      <c r="C26" s="1" t="s">
        <v>18</v>
      </c>
      <c r="D26" s="6" t="str">
        <f>VLOOKUP(C26, '[2]Summery sheet'!B:G, 6, FALSE)</f>
        <v>White</v>
      </c>
      <c r="E26" s="6">
        <f>VLOOKUP(C26, [1]VT!C:G, 5, FALSE)</f>
        <v>8</v>
      </c>
      <c r="F26" s="6">
        <f>VLOOKUP(C26, [1]VT!C:H, 6, FALSE)</f>
        <v>40</v>
      </c>
      <c r="G26" s="6">
        <f>VLOOKUP(C26, [1]VT!C:I, 7, FALSE)</f>
        <v>5</v>
      </c>
      <c r="H26" s="2" t="s">
        <v>16</v>
      </c>
      <c r="I26" s="2" t="s">
        <v>19</v>
      </c>
      <c r="J26" s="2" t="s">
        <v>19</v>
      </c>
      <c r="K26" s="2">
        <v>100</v>
      </c>
      <c r="L26" s="2">
        <v>4</v>
      </c>
      <c r="M26" s="2">
        <v>160</v>
      </c>
      <c r="N26" s="2">
        <v>340</v>
      </c>
      <c r="O26" s="2">
        <v>10</v>
      </c>
      <c r="P26" s="2">
        <v>0</v>
      </c>
    </row>
    <row r="27" spans="1:16" x14ac:dyDescent="0.25">
      <c r="A27" s="3">
        <v>46026</v>
      </c>
      <c r="B27" s="2" t="s">
        <v>11</v>
      </c>
      <c r="C27" s="1" t="s">
        <v>21</v>
      </c>
      <c r="D27" s="6" t="str">
        <f>VLOOKUP(C27, '[2]Summery sheet'!B:G, 6, FALSE)</f>
        <v>White</v>
      </c>
      <c r="E27" s="6">
        <f>VLOOKUP(C27, [1]VT!C:G, 5, FALSE)</f>
        <v>15</v>
      </c>
      <c r="F27" s="6">
        <f>VLOOKUP(C27, [1]VT!C:H, 6, FALSE)</f>
        <v>90</v>
      </c>
      <c r="G27" s="6">
        <f>VLOOKUP(C27, [1]VT!C:I, 7, FALSE)</f>
        <v>6</v>
      </c>
      <c r="H27" s="2" t="s">
        <v>16</v>
      </c>
      <c r="I27" s="2" t="s">
        <v>41</v>
      </c>
      <c r="J27" s="2" t="s">
        <v>43</v>
      </c>
      <c r="K27" s="2">
        <v>90</v>
      </c>
      <c r="L27" s="2">
        <v>4</v>
      </c>
      <c r="M27" s="2">
        <v>512</v>
      </c>
      <c r="N27" s="2">
        <v>449</v>
      </c>
      <c r="O27" s="2">
        <v>11</v>
      </c>
      <c r="P27" s="2">
        <v>0</v>
      </c>
    </row>
    <row r="28" spans="1:16" x14ac:dyDescent="0.25">
      <c r="A28" s="3">
        <v>46026</v>
      </c>
      <c r="B28" s="2" t="s">
        <v>11</v>
      </c>
      <c r="C28" s="1" t="s">
        <v>21</v>
      </c>
      <c r="D28" s="6" t="str">
        <f>VLOOKUP(C28, '[2]Summery sheet'!B:G, 6, FALSE)</f>
        <v>White</v>
      </c>
      <c r="E28" s="6">
        <f>VLOOKUP(C28, [1]VT!C:G, 5, FALSE)</f>
        <v>15</v>
      </c>
      <c r="F28" s="6">
        <f>VLOOKUP(C28, [1]VT!C:H, 6, FALSE)</f>
        <v>90</v>
      </c>
      <c r="G28" s="6">
        <f>VLOOKUP(C28, [1]VT!C:I, 7, FALSE)</f>
        <v>6</v>
      </c>
      <c r="H28" s="2" t="s">
        <v>17</v>
      </c>
      <c r="I28" s="2" t="s">
        <v>41</v>
      </c>
      <c r="J28" s="2" t="s">
        <v>43</v>
      </c>
      <c r="K28" s="2">
        <v>90</v>
      </c>
      <c r="L28" s="2">
        <v>3</v>
      </c>
      <c r="M28" s="2">
        <v>384</v>
      </c>
      <c r="N28" s="2">
        <v>358</v>
      </c>
      <c r="O28" s="2">
        <v>12</v>
      </c>
      <c r="P28" s="2">
        <v>0</v>
      </c>
    </row>
    <row r="29" spans="1:16" x14ac:dyDescent="0.25">
      <c r="A29" s="3">
        <v>46026</v>
      </c>
      <c r="B29" s="2" t="s">
        <v>11</v>
      </c>
      <c r="C29" s="10" t="s">
        <v>71</v>
      </c>
      <c r="D29" s="6" t="e">
        <f>VLOOKUP(C29, '[2]Summery sheet'!B:G, 6, FALSE)</f>
        <v>#N/A</v>
      </c>
      <c r="E29" s="6">
        <f>VLOOKUP(C29, [1]VT!C:G, 5, FALSE)</f>
        <v>32</v>
      </c>
      <c r="F29" s="6">
        <f>VLOOKUP(C29, [1]VT!C:H, 6, FALSE)</f>
        <v>192</v>
      </c>
      <c r="G29" s="6">
        <f>VLOOKUP(C29, [1]VT!C:I, 7, FALSE)</f>
        <v>6</v>
      </c>
      <c r="H29" s="2" t="s">
        <v>17</v>
      </c>
      <c r="I29" s="2" t="s">
        <v>42</v>
      </c>
      <c r="J29" s="2" t="s">
        <v>42</v>
      </c>
      <c r="K29" s="2">
        <v>140</v>
      </c>
      <c r="L29" s="2">
        <v>3</v>
      </c>
      <c r="M29" s="2">
        <v>576</v>
      </c>
      <c r="N29" s="2">
        <v>476</v>
      </c>
      <c r="O29" s="2">
        <v>32</v>
      </c>
      <c r="P29" s="2">
        <v>0</v>
      </c>
    </row>
    <row r="30" spans="1:16" x14ac:dyDescent="0.25">
      <c r="A30" s="3">
        <v>46026</v>
      </c>
      <c r="B30" s="2" t="s">
        <v>20</v>
      </c>
      <c r="C30" s="1" t="s">
        <v>27</v>
      </c>
      <c r="D30" s="6" t="str">
        <f>VLOOKUP(C30, '[2]Summery sheet'!B:G, 6, FALSE)</f>
        <v>Black</v>
      </c>
      <c r="E30" s="6">
        <f>VLOOKUP(C30, [1]VT!C:G, 5, FALSE)</f>
        <v>10</v>
      </c>
      <c r="F30" s="6">
        <f>VLOOKUP(C30, [1]VT!C:H, 6, FALSE)</f>
        <v>100</v>
      </c>
      <c r="G30" s="6">
        <f>VLOOKUP(C30, [1]VT!C:I, 7, FALSE)</f>
        <v>10</v>
      </c>
      <c r="H30" s="2" t="s">
        <v>16</v>
      </c>
      <c r="I30" s="2" t="s">
        <v>25</v>
      </c>
      <c r="J30" s="2" t="s">
        <v>25</v>
      </c>
      <c r="K30" s="2">
        <v>80</v>
      </c>
      <c r="L30" s="2">
        <v>11</v>
      </c>
      <c r="M30" s="2">
        <v>880</v>
      </c>
      <c r="N30" s="2">
        <v>316</v>
      </c>
      <c r="O30" s="2">
        <v>40</v>
      </c>
      <c r="P30" s="2">
        <v>30</v>
      </c>
    </row>
    <row r="31" spans="1:16" x14ac:dyDescent="0.25">
      <c r="A31" s="3">
        <v>46026</v>
      </c>
      <c r="B31" s="2" t="s">
        <v>20</v>
      </c>
      <c r="C31" s="1" t="s">
        <v>27</v>
      </c>
      <c r="D31" s="6" t="str">
        <f>VLOOKUP(C31, '[2]Summery sheet'!B:G, 6, FALSE)</f>
        <v>Black</v>
      </c>
      <c r="E31" s="6">
        <f>VLOOKUP(C31, [1]VT!C:G, 5, FALSE)</f>
        <v>10</v>
      </c>
      <c r="F31" s="6">
        <f>VLOOKUP(C31, [1]VT!C:H, 6, FALSE)</f>
        <v>100</v>
      </c>
      <c r="G31" s="6">
        <f>VLOOKUP(C31, [1]VT!C:I, 7, FALSE)</f>
        <v>10</v>
      </c>
      <c r="H31" s="2" t="s">
        <v>17</v>
      </c>
      <c r="I31" s="2" t="s">
        <v>25</v>
      </c>
      <c r="J31" s="2" t="s">
        <v>25</v>
      </c>
      <c r="K31" s="2">
        <v>80</v>
      </c>
      <c r="L31" s="2">
        <v>11</v>
      </c>
      <c r="M31" s="2">
        <v>880</v>
      </c>
      <c r="N31" s="2">
        <v>822</v>
      </c>
      <c r="O31" s="2">
        <v>28</v>
      </c>
      <c r="P31" s="2">
        <v>0</v>
      </c>
    </row>
    <row r="32" spans="1:16" x14ac:dyDescent="0.25">
      <c r="A32" s="3">
        <v>46026</v>
      </c>
      <c r="B32" s="2" t="s">
        <v>29</v>
      </c>
      <c r="C32" s="1" t="s">
        <v>73</v>
      </c>
      <c r="D32" s="6" t="e">
        <f>VLOOKUP(C32, '[2]Summery sheet'!B:G, 6, FALSE)</f>
        <v>#N/A</v>
      </c>
      <c r="E32" s="6">
        <f>VLOOKUP(C32, [1]VT!C:G, 5, FALSE)</f>
        <v>104</v>
      </c>
      <c r="F32" s="6">
        <f>VLOOKUP(C32, [1]VT!C:H, 6, FALSE)</f>
        <v>520</v>
      </c>
      <c r="G32" s="6">
        <f>VLOOKUP(C32, [1]VT!C:I, 7, FALSE)</f>
        <v>5</v>
      </c>
      <c r="H32" s="2" t="s">
        <v>16</v>
      </c>
      <c r="I32" s="2" t="s">
        <v>47</v>
      </c>
      <c r="J32" s="2" t="s">
        <v>32</v>
      </c>
      <c r="K32" s="2">
        <v>120</v>
      </c>
      <c r="L32" s="2">
        <v>1</v>
      </c>
      <c r="M32" s="2">
        <v>540</v>
      </c>
      <c r="N32" s="2">
        <v>384</v>
      </c>
      <c r="O32" s="2">
        <v>30</v>
      </c>
      <c r="P32" s="2">
        <v>45</v>
      </c>
    </row>
    <row r="33" spans="1:16" x14ac:dyDescent="0.25">
      <c r="A33" s="3">
        <v>46026</v>
      </c>
      <c r="B33" s="2" t="s">
        <v>29</v>
      </c>
      <c r="C33" s="6" t="s">
        <v>45</v>
      </c>
      <c r="D33" s="6" t="str">
        <f>VLOOKUP(C33, '[2]Summery sheet'!B:G, 6, FALSE)</f>
        <v>Black</v>
      </c>
      <c r="E33" s="6">
        <f>VLOOKUP(C33, [1]VT!C:G, 5, FALSE)</f>
        <v>72</v>
      </c>
      <c r="F33" s="6">
        <f>VLOOKUP(C33, [1]VT!C:H, 6, FALSE)</f>
        <v>288</v>
      </c>
      <c r="G33" s="6">
        <f>VLOOKUP(C33, [1]VT!C:I, 7, FALSE)</f>
        <v>4</v>
      </c>
      <c r="H33" s="2" t="s">
        <v>16</v>
      </c>
      <c r="I33" s="2" t="s">
        <v>48</v>
      </c>
      <c r="J33" s="2" t="s">
        <v>48</v>
      </c>
      <c r="K33" s="2">
        <v>40</v>
      </c>
      <c r="L33" s="2">
        <v>1</v>
      </c>
      <c r="M33" s="2">
        <v>288</v>
      </c>
      <c r="N33" s="2">
        <v>244</v>
      </c>
      <c r="O33" s="2">
        <v>8</v>
      </c>
      <c r="P33" s="2">
        <v>0</v>
      </c>
    </row>
    <row r="34" spans="1:16" x14ac:dyDescent="0.25">
      <c r="A34" s="3">
        <v>46026</v>
      </c>
      <c r="B34" s="2" t="s">
        <v>29</v>
      </c>
      <c r="C34" s="1" t="s">
        <v>45</v>
      </c>
      <c r="D34" s="6" t="str">
        <f>VLOOKUP(C34, '[2]Summery sheet'!B:G, 6, FALSE)</f>
        <v>Black</v>
      </c>
      <c r="E34" s="6">
        <f>VLOOKUP(C34, [1]VT!C:G, 5, FALSE)</f>
        <v>72</v>
      </c>
      <c r="F34" s="6">
        <f>VLOOKUP(C34, [1]VT!C:H, 6, FALSE)</f>
        <v>288</v>
      </c>
      <c r="G34" s="6">
        <f>VLOOKUP(C34, [1]VT!C:I, 7, FALSE)</f>
        <v>4</v>
      </c>
      <c r="H34" s="2" t="s">
        <v>17</v>
      </c>
      <c r="I34" s="2" t="s">
        <v>48</v>
      </c>
      <c r="J34" s="2" t="s">
        <v>48</v>
      </c>
      <c r="K34" s="2">
        <v>46</v>
      </c>
      <c r="L34" s="2">
        <v>1</v>
      </c>
      <c r="M34" s="2">
        <v>284</v>
      </c>
      <c r="N34" s="2">
        <v>248</v>
      </c>
      <c r="O34" s="2">
        <v>12</v>
      </c>
      <c r="P34" s="2">
        <v>0</v>
      </c>
    </row>
    <row r="35" spans="1:16" x14ac:dyDescent="0.25">
      <c r="A35" s="3">
        <v>46026</v>
      </c>
      <c r="B35" s="2" t="s">
        <v>29</v>
      </c>
      <c r="C35" s="1" t="s">
        <v>46</v>
      </c>
      <c r="D35" s="6" t="str">
        <f>VLOOKUP(C35, '[2]Summery sheet'!B:G, 6, FALSE)</f>
        <v>Black</v>
      </c>
      <c r="E35" s="6">
        <f>VLOOKUP(C35, [1]VT!C:G, 5, FALSE)</f>
        <v>8</v>
      </c>
      <c r="F35" s="6">
        <f>VLOOKUP(C35, [1]VT!C:H, 6, FALSE)</f>
        <v>40</v>
      </c>
      <c r="G35" s="6">
        <f>VLOOKUP(C35, [1]VT!C:I, 7, FALSE)</f>
        <v>5</v>
      </c>
      <c r="H35" s="2" t="s">
        <v>17</v>
      </c>
      <c r="I35" s="2" t="s">
        <v>49</v>
      </c>
      <c r="J35" s="2" t="s">
        <v>49</v>
      </c>
      <c r="K35" s="2">
        <v>60</v>
      </c>
      <c r="L35" s="2">
        <v>6</v>
      </c>
      <c r="M35" s="2">
        <v>240</v>
      </c>
      <c r="N35" s="2">
        <v>271</v>
      </c>
      <c r="O35" s="2">
        <v>9</v>
      </c>
      <c r="P35" s="2">
        <v>0</v>
      </c>
    </row>
    <row r="36" spans="1:16" x14ac:dyDescent="0.25">
      <c r="A36" s="3">
        <v>46026</v>
      </c>
      <c r="B36" s="2" t="s">
        <v>36</v>
      </c>
      <c r="C36" s="1" t="s">
        <v>22</v>
      </c>
      <c r="D36" s="6" t="str">
        <f>VLOOKUP(C36, '[2]Summery sheet'!B:G, 6, FALSE)</f>
        <v>White</v>
      </c>
      <c r="E36" s="6">
        <f>VLOOKUP(C36, [1]VT!C:G, 5, FALSE)</f>
        <v>16</v>
      </c>
      <c r="F36" s="6">
        <f>VLOOKUP(C36, [1]VT!C:H, 6, FALSE)</f>
        <v>64</v>
      </c>
      <c r="G36" s="6">
        <f>VLOOKUP(C36, [1]VT!C:I, 7, FALSE)</f>
        <v>4</v>
      </c>
      <c r="H36" s="2" t="s">
        <v>16</v>
      </c>
      <c r="I36" s="2" t="s">
        <v>25</v>
      </c>
      <c r="J36" s="2" t="s">
        <v>25</v>
      </c>
      <c r="K36" s="2">
        <v>80</v>
      </c>
      <c r="L36" s="2">
        <v>12</v>
      </c>
      <c r="M36" s="2">
        <v>960</v>
      </c>
      <c r="N36" s="2">
        <v>887</v>
      </c>
      <c r="O36" s="2">
        <v>20</v>
      </c>
      <c r="P36" s="2">
        <v>0</v>
      </c>
    </row>
    <row r="37" spans="1:16" x14ac:dyDescent="0.25">
      <c r="A37" s="3">
        <v>46026</v>
      </c>
      <c r="B37" s="2" t="s">
        <v>36</v>
      </c>
      <c r="C37" s="1" t="s">
        <v>22</v>
      </c>
      <c r="D37" s="6" t="str">
        <f>VLOOKUP(C37, '[2]Summery sheet'!B:G, 6, FALSE)</f>
        <v>White</v>
      </c>
      <c r="E37" s="6">
        <f>VLOOKUP(C37, [1]VT!C:G, 5, FALSE)</f>
        <v>16</v>
      </c>
      <c r="F37" s="6">
        <f>VLOOKUP(C37, [1]VT!C:H, 6, FALSE)</f>
        <v>64</v>
      </c>
      <c r="G37" s="6">
        <f>VLOOKUP(C37, [1]VT!C:I, 7, FALSE)</f>
        <v>4</v>
      </c>
      <c r="H37" s="2" t="s">
        <v>17</v>
      </c>
      <c r="I37" s="2" t="s">
        <v>25</v>
      </c>
      <c r="J37" s="2" t="s">
        <v>25</v>
      </c>
      <c r="K37" s="2">
        <v>80</v>
      </c>
      <c r="L37" s="2">
        <v>12</v>
      </c>
      <c r="M37" s="2">
        <v>960</v>
      </c>
      <c r="N37" s="2">
        <v>842</v>
      </c>
      <c r="O37" s="2">
        <v>22</v>
      </c>
      <c r="P37" s="2">
        <v>0</v>
      </c>
    </row>
    <row r="38" spans="1:16" x14ac:dyDescent="0.25">
      <c r="A38" s="3">
        <v>46027</v>
      </c>
      <c r="B38" s="2" t="s">
        <v>11</v>
      </c>
      <c r="C38" s="10" t="s">
        <v>71</v>
      </c>
      <c r="D38" s="6" t="e">
        <f>VLOOKUP(C38, '[2]Summery sheet'!B:G, 6, FALSE)</f>
        <v>#N/A</v>
      </c>
      <c r="E38" s="6">
        <f>VLOOKUP(C38, [1]VT!C:G, 5, FALSE)</f>
        <v>32</v>
      </c>
      <c r="F38" s="6">
        <f>VLOOKUP(C38, [1]VT!C:H, 6, FALSE)</f>
        <v>192</v>
      </c>
      <c r="G38" s="6">
        <f>VLOOKUP(C38, [1]VT!C:I, 7, FALSE)</f>
        <v>6</v>
      </c>
      <c r="H38" s="2" t="s">
        <v>16</v>
      </c>
      <c r="I38" s="2" t="s">
        <v>42</v>
      </c>
      <c r="J38" s="2" t="s">
        <v>42</v>
      </c>
      <c r="K38" s="2">
        <v>140</v>
      </c>
      <c r="L38" s="2">
        <v>2</v>
      </c>
      <c r="M38" s="2">
        <v>384</v>
      </c>
      <c r="N38" s="2">
        <v>656</v>
      </c>
      <c r="O38" s="2">
        <v>10</v>
      </c>
      <c r="P38" s="2">
        <v>0</v>
      </c>
    </row>
    <row r="39" spans="1:16" x14ac:dyDescent="0.25">
      <c r="A39" s="3">
        <v>46027</v>
      </c>
      <c r="B39" s="2" t="s">
        <v>11</v>
      </c>
      <c r="C39" s="1" t="s">
        <v>38</v>
      </c>
      <c r="D39" s="6" t="str">
        <f>VLOOKUP(C39, '[2]Summery sheet'!B:G, 6, FALSE)</f>
        <v>Brown</v>
      </c>
      <c r="E39" s="6">
        <f>VLOOKUP(C39, [1]VT!C:G, 5, FALSE)</f>
        <v>32</v>
      </c>
      <c r="F39" s="6">
        <f>VLOOKUP(C39, [1]VT!C:H, 6, FALSE)</f>
        <v>192</v>
      </c>
      <c r="G39" s="6">
        <f>VLOOKUP(C39, [1]VT!C:I, 7, FALSE)</f>
        <v>6</v>
      </c>
      <c r="H39" s="2" t="s">
        <v>16</v>
      </c>
      <c r="I39" s="2" t="s">
        <v>42</v>
      </c>
      <c r="J39" s="2" t="s">
        <v>44</v>
      </c>
      <c r="K39" s="2">
        <v>140</v>
      </c>
      <c r="L39" s="2">
        <v>2</v>
      </c>
      <c r="M39" s="2">
        <v>384</v>
      </c>
      <c r="N39" s="2">
        <v>424</v>
      </c>
      <c r="O39" s="2">
        <v>0</v>
      </c>
      <c r="P39" s="2">
        <v>0</v>
      </c>
    </row>
    <row r="40" spans="1:16" x14ac:dyDescent="0.25">
      <c r="A40" s="3">
        <v>46027</v>
      </c>
      <c r="B40" s="2" t="s">
        <v>11</v>
      </c>
      <c r="C40" s="1" t="s">
        <v>38</v>
      </c>
      <c r="D40" s="6" t="str">
        <f>VLOOKUP(C40, '[2]Summery sheet'!B:G, 6, FALSE)</f>
        <v>Brown</v>
      </c>
      <c r="E40" s="6">
        <f>VLOOKUP(C40, [1]VT!C:G, 5, FALSE)</f>
        <v>32</v>
      </c>
      <c r="F40" s="6">
        <f>VLOOKUP(C40, [1]VT!C:H, 6, FALSE)</f>
        <v>192</v>
      </c>
      <c r="G40" s="6">
        <f>VLOOKUP(C40, [1]VT!C:I, 7, FALSE)</f>
        <v>6</v>
      </c>
      <c r="H40" s="2" t="s">
        <v>17</v>
      </c>
      <c r="I40" s="2" t="s">
        <v>42</v>
      </c>
      <c r="J40" s="2" t="s">
        <v>42</v>
      </c>
      <c r="K40" s="2">
        <v>140</v>
      </c>
      <c r="L40" s="2">
        <v>7</v>
      </c>
      <c r="M40" s="2">
        <v>1344</v>
      </c>
      <c r="N40" s="2">
        <v>1254</v>
      </c>
      <c r="O40" s="2">
        <v>23</v>
      </c>
      <c r="P40" s="2">
        <v>0</v>
      </c>
    </row>
    <row r="41" spans="1:16" x14ac:dyDescent="0.25">
      <c r="A41" s="3">
        <v>46027</v>
      </c>
      <c r="B41" s="2" t="s">
        <v>11</v>
      </c>
      <c r="C41" s="11" t="s">
        <v>72</v>
      </c>
      <c r="D41" s="6" t="e">
        <f>VLOOKUP(C41, '[2]Summery sheet'!B:G, 6, FALSE)</f>
        <v>#N/A</v>
      </c>
      <c r="E41" s="6" t="e">
        <f>VLOOKUP(C41, [1]VT!C:G, 5, FALSE)</f>
        <v>#N/A</v>
      </c>
      <c r="F41" s="6" t="e">
        <f>VLOOKUP(C41, [1]VT!C:H, 6, FALSE)</f>
        <v>#N/A</v>
      </c>
      <c r="G41" s="6" t="e">
        <f>VLOOKUP(C41, [1]VT!C:I, 7, FALSE)</f>
        <v>#N/A</v>
      </c>
      <c r="H41" s="2" t="s">
        <v>17</v>
      </c>
      <c r="I41" s="2" t="s">
        <v>42</v>
      </c>
      <c r="J41" s="2" t="s">
        <v>42</v>
      </c>
      <c r="K41" s="2">
        <v>140</v>
      </c>
      <c r="L41" s="2">
        <v>1</v>
      </c>
      <c r="M41" s="2">
        <v>192</v>
      </c>
      <c r="N41" s="2">
        <v>154</v>
      </c>
      <c r="O41" s="2">
        <v>4</v>
      </c>
      <c r="P41" s="2">
        <v>0</v>
      </c>
    </row>
    <row r="42" spans="1:16" x14ac:dyDescent="0.25">
      <c r="A42" s="3">
        <v>46027</v>
      </c>
      <c r="B42" s="2" t="s">
        <v>20</v>
      </c>
      <c r="C42" s="1" t="s">
        <v>27</v>
      </c>
      <c r="D42" s="6" t="str">
        <f>VLOOKUP(C42, '[2]Summery sheet'!B:G, 6, FALSE)</f>
        <v>Black</v>
      </c>
      <c r="E42" s="6">
        <f>VLOOKUP(C42, [1]VT!C:G, 5, FALSE)</f>
        <v>10</v>
      </c>
      <c r="F42" s="6">
        <f>VLOOKUP(C42, [1]VT!C:H, 6, FALSE)</f>
        <v>100</v>
      </c>
      <c r="G42" s="6">
        <f>VLOOKUP(C42, [1]VT!C:I, 7, FALSE)</f>
        <v>10</v>
      </c>
      <c r="H42" s="2" t="s">
        <v>16</v>
      </c>
      <c r="I42" s="2" t="s">
        <v>25</v>
      </c>
      <c r="J42" s="2" t="s">
        <v>25</v>
      </c>
      <c r="K42" s="2">
        <v>80</v>
      </c>
      <c r="L42" s="2">
        <v>3</v>
      </c>
      <c r="M42" s="2">
        <v>240</v>
      </c>
      <c r="N42" s="2">
        <v>769</v>
      </c>
      <c r="O42" s="2">
        <v>20</v>
      </c>
      <c r="P42" s="2">
        <v>39</v>
      </c>
    </row>
    <row r="43" spans="1:16" x14ac:dyDescent="0.25">
      <c r="A43" s="3">
        <v>46027</v>
      </c>
      <c r="B43" s="2" t="s">
        <v>20</v>
      </c>
      <c r="C43" s="1" t="s">
        <v>26</v>
      </c>
      <c r="D43" s="6" t="str">
        <f>VLOOKUP(C43, '[2]Summery sheet'!B:G, 6, FALSE)</f>
        <v>Black</v>
      </c>
      <c r="E43" s="6">
        <f>VLOOKUP(C43, [1]VT!C:G, 5, FALSE)</f>
        <v>40</v>
      </c>
      <c r="F43" s="6">
        <f>VLOOKUP(C43, [1]VT!C:H, 6, FALSE)</f>
        <v>200</v>
      </c>
      <c r="G43" s="6">
        <f>VLOOKUP(C43, [1]VT!C:I, 7, FALSE)</f>
        <v>5</v>
      </c>
      <c r="H43" s="2" t="s">
        <v>17</v>
      </c>
      <c r="I43" s="2" t="s">
        <v>40</v>
      </c>
      <c r="J43" s="2" t="s">
        <v>40</v>
      </c>
      <c r="K43" s="2">
        <v>140</v>
      </c>
      <c r="L43" s="2">
        <v>7</v>
      </c>
      <c r="M43" s="2">
        <v>1400</v>
      </c>
      <c r="N43" s="2">
        <v>1435</v>
      </c>
      <c r="O43" s="2">
        <v>31</v>
      </c>
      <c r="P43" s="2">
        <v>0</v>
      </c>
    </row>
    <row r="44" spans="1:16" x14ac:dyDescent="0.25">
      <c r="A44" s="3">
        <v>46027</v>
      </c>
      <c r="B44" s="2" t="s">
        <v>29</v>
      </c>
      <c r="C44" s="1" t="s">
        <v>46</v>
      </c>
      <c r="D44" s="6" t="str">
        <f>VLOOKUP(C44, '[2]Summery sheet'!B:G, 6, FALSE)</f>
        <v>Black</v>
      </c>
      <c r="E44" s="6">
        <f>VLOOKUP(C44, [1]VT!C:G, 5, FALSE)</f>
        <v>8</v>
      </c>
      <c r="F44" s="6">
        <f>VLOOKUP(C44, [1]VT!C:H, 6, FALSE)</f>
        <v>40</v>
      </c>
      <c r="G44" s="6">
        <f>VLOOKUP(C44, [1]VT!C:I, 7, FALSE)</f>
        <v>5</v>
      </c>
      <c r="H44" s="2" t="s">
        <v>16</v>
      </c>
      <c r="I44" s="2" t="s">
        <v>49</v>
      </c>
      <c r="J44" s="2" t="s">
        <v>49</v>
      </c>
      <c r="K44" s="2">
        <v>60</v>
      </c>
      <c r="L44" s="2">
        <v>5</v>
      </c>
      <c r="M44" s="2">
        <v>200</v>
      </c>
      <c r="N44" s="2">
        <v>365</v>
      </c>
      <c r="O44" s="2">
        <v>15</v>
      </c>
      <c r="P44" s="2">
        <v>0</v>
      </c>
    </row>
    <row r="45" spans="1:16" x14ac:dyDescent="0.25">
      <c r="A45" s="3">
        <v>46027</v>
      </c>
      <c r="B45" s="2" t="s">
        <v>29</v>
      </c>
      <c r="C45" s="1" t="s">
        <v>50</v>
      </c>
      <c r="D45" s="6" t="str">
        <f>VLOOKUP(C45, '[2]Summery sheet'!B:G, 6, FALSE)</f>
        <v>Black</v>
      </c>
      <c r="E45" s="6">
        <f>VLOOKUP(C45, [1]VT!C:G, 5, FALSE)</f>
        <v>8</v>
      </c>
      <c r="F45" s="6">
        <f>VLOOKUP(C45, [1]VT!C:H, 6, FALSE)</f>
        <v>32</v>
      </c>
      <c r="G45" s="6">
        <f>VLOOKUP(C45, [1]VT!C:I, 7, FALSE)</f>
        <v>4</v>
      </c>
      <c r="H45" s="2" t="s">
        <v>16</v>
      </c>
      <c r="I45" s="2" t="s">
        <v>53</v>
      </c>
      <c r="J45" s="2" t="s">
        <v>53</v>
      </c>
      <c r="K45" s="2">
        <v>56</v>
      </c>
      <c r="L45" s="2">
        <v>5</v>
      </c>
      <c r="M45" s="2">
        <v>200</v>
      </c>
      <c r="N45" s="2">
        <v>250</v>
      </c>
      <c r="O45" s="2">
        <v>20</v>
      </c>
      <c r="P45" s="2">
        <v>0</v>
      </c>
    </row>
    <row r="46" spans="1:16" x14ac:dyDescent="0.25">
      <c r="A46" s="3">
        <v>46027</v>
      </c>
      <c r="B46" s="2" t="s">
        <v>29</v>
      </c>
      <c r="C46" s="7" t="s">
        <v>50</v>
      </c>
      <c r="D46" s="6" t="str">
        <f>VLOOKUP(C46, '[2]Summery sheet'!B:G, 6, FALSE)</f>
        <v>Black</v>
      </c>
      <c r="E46" s="6">
        <f>VLOOKUP(C46, [1]VT!C:G, 5, FALSE)</f>
        <v>8</v>
      </c>
      <c r="F46" s="6">
        <f>VLOOKUP(C46, [1]VT!C:H, 6, FALSE)</f>
        <v>32</v>
      </c>
      <c r="G46" s="6">
        <f>VLOOKUP(C46, [1]VT!C:I, 7, FALSE)</f>
        <v>4</v>
      </c>
      <c r="H46" s="2" t="s">
        <v>17</v>
      </c>
      <c r="I46" s="2" t="s">
        <v>53</v>
      </c>
      <c r="J46" s="2" t="s">
        <v>53</v>
      </c>
      <c r="K46" s="2">
        <v>56</v>
      </c>
      <c r="L46" s="2">
        <v>4</v>
      </c>
      <c r="M46" s="2">
        <v>360</v>
      </c>
      <c r="N46" s="2">
        <v>382</v>
      </c>
      <c r="O46" s="2">
        <v>10</v>
      </c>
      <c r="P46" s="2">
        <v>0</v>
      </c>
    </row>
    <row r="47" spans="1:16" x14ac:dyDescent="0.25">
      <c r="A47" s="3">
        <v>46027</v>
      </c>
      <c r="B47" s="2" t="s">
        <v>29</v>
      </c>
      <c r="C47" s="1" t="s">
        <v>51</v>
      </c>
      <c r="D47" s="6" t="str">
        <f>VLOOKUP(C47, '[2]Summery sheet'!B:G, 6, FALSE)</f>
        <v>Black</v>
      </c>
      <c r="E47" s="6">
        <f>VLOOKUP(C47, [1]VT!C:G, 5, FALSE)</f>
        <v>8</v>
      </c>
      <c r="F47" s="6">
        <f>VLOOKUP(C47, [1]VT!C:H, 6, FALSE)</f>
        <v>40</v>
      </c>
      <c r="G47" s="6">
        <f>VLOOKUP(C47, [1]VT!C:I, 7, FALSE)</f>
        <v>5</v>
      </c>
      <c r="H47" s="2" t="s">
        <v>17</v>
      </c>
      <c r="I47" s="8">
        <v>46053</v>
      </c>
      <c r="J47" s="8" t="s">
        <v>56</v>
      </c>
      <c r="K47" s="2">
        <v>115</v>
      </c>
      <c r="L47" s="2">
        <v>2</v>
      </c>
      <c r="M47" s="2">
        <v>80</v>
      </c>
      <c r="N47" s="2">
        <v>75</v>
      </c>
      <c r="O47" s="2">
        <v>8</v>
      </c>
      <c r="P47" s="2">
        <v>0</v>
      </c>
    </row>
    <row r="48" spans="1:16" x14ac:dyDescent="0.25">
      <c r="A48" s="3">
        <v>46027</v>
      </c>
      <c r="B48" s="2" t="s">
        <v>29</v>
      </c>
      <c r="C48" s="1" t="s">
        <v>52</v>
      </c>
      <c r="D48" s="6" t="str">
        <f>VLOOKUP(C48, '[2]Summery sheet'!B:G, 6, FALSE)</f>
        <v>Black</v>
      </c>
      <c r="E48" s="6">
        <f>VLOOKUP(C48, [1]VT!C:G, 5, FALSE)</f>
        <v>10</v>
      </c>
      <c r="F48" s="6">
        <f>VLOOKUP(C48, [1]VT!C:H, 6, FALSE)</f>
        <v>100</v>
      </c>
      <c r="G48" s="6">
        <f>VLOOKUP(C48, [1]VT!C:I, 7, FALSE)</f>
        <v>10</v>
      </c>
      <c r="H48" s="2" t="s">
        <v>17</v>
      </c>
      <c r="I48" s="2" t="s">
        <v>54</v>
      </c>
      <c r="J48" s="2" t="s">
        <v>55</v>
      </c>
      <c r="K48" s="2">
        <v>95</v>
      </c>
      <c r="L48" s="2">
        <v>4</v>
      </c>
      <c r="M48" s="2">
        <v>320</v>
      </c>
      <c r="N48" s="2">
        <v>158</v>
      </c>
      <c r="O48" s="2">
        <v>16</v>
      </c>
      <c r="P48" s="2">
        <v>0</v>
      </c>
    </row>
    <row r="49" spans="1:16" x14ac:dyDescent="0.25">
      <c r="A49" s="3">
        <v>46027</v>
      </c>
      <c r="B49" s="2" t="s">
        <v>36</v>
      </c>
      <c r="C49" s="1" t="s">
        <v>22</v>
      </c>
      <c r="D49" s="6" t="str">
        <f>VLOOKUP(C49, '[2]Summery sheet'!B:G, 6, FALSE)</f>
        <v>White</v>
      </c>
      <c r="E49" s="6">
        <f>VLOOKUP(C49, [1]VT!C:G, 5, FALSE)</f>
        <v>16</v>
      </c>
      <c r="F49" s="6">
        <f>VLOOKUP(C49, [1]VT!C:H, 6, FALSE)</f>
        <v>64</v>
      </c>
      <c r="G49" s="6">
        <f>VLOOKUP(C49, [1]VT!C:I, 7, FALSE)</f>
        <v>4</v>
      </c>
      <c r="H49" s="2" t="s">
        <v>16</v>
      </c>
      <c r="I49" s="2" t="s">
        <v>25</v>
      </c>
      <c r="J49" s="2" t="s">
        <v>25</v>
      </c>
      <c r="K49" s="2">
        <v>80</v>
      </c>
      <c r="L49" s="2">
        <v>5</v>
      </c>
      <c r="M49" s="2">
        <v>400</v>
      </c>
      <c r="N49" s="2">
        <v>498</v>
      </c>
      <c r="O49" s="2">
        <v>20</v>
      </c>
      <c r="P49" s="2">
        <v>0</v>
      </c>
    </row>
    <row r="50" spans="1:16" x14ac:dyDescent="0.25">
      <c r="A50" s="3">
        <v>46027</v>
      </c>
      <c r="B50" s="2" t="s">
        <v>36</v>
      </c>
      <c r="C50" s="1" t="s">
        <v>57</v>
      </c>
      <c r="D50" s="6" t="str">
        <f>VLOOKUP(C50, '[2]Summery sheet'!B:G, 6, FALSE)</f>
        <v>White</v>
      </c>
      <c r="E50" s="6">
        <f>VLOOKUP(C50, [1]VT!C:G, 5, FALSE)</f>
        <v>15</v>
      </c>
      <c r="F50" s="6">
        <f>VLOOKUP(C50, [1]VT!C:H, 6, FALSE)</f>
        <v>90</v>
      </c>
      <c r="G50" s="6">
        <f>VLOOKUP(C50, [1]VT!C:I, 7, FALSE)</f>
        <v>6</v>
      </c>
      <c r="H50" s="2" t="s">
        <v>16</v>
      </c>
      <c r="I50" s="2" t="s">
        <v>58</v>
      </c>
      <c r="J50" s="2" t="s">
        <v>58</v>
      </c>
      <c r="K50" s="2">
        <v>100</v>
      </c>
      <c r="L50" s="2">
        <v>4</v>
      </c>
      <c r="M50" s="2">
        <v>512</v>
      </c>
      <c r="N50" s="2">
        <v>396</v>
      </c>
      <c r="O50" s="2">
        <v>20</v>
      </c>
      <c r="P50" s="2">
        <v>0</v>
      </c>
    </row>
    <row r="51" spans="1:16" x14ac:dyDescent="0.25">
      <c r="A51" s="3">
        <v>46028</v>
      </c>
      <c r="B51" s="2" t="s">
        <v>11</v>
      </c>
      <c r="C51" s="2" t="s">
        <v>72</v>
      </c>
      <c r="D51" s="6" t="e">
        <f>VLOOKUP(C51, '[2]Summery sheet'!B:G, 6, FALSE)</f>
        <v>#N/A</v>
      </c>
      <c r="E51" s="6" t="e">
        <f>VLOOKUP(C51, [1]VT!C:G, 5, FALSE)</f>
        <v>#N/A</v>
      </c>
      <c r="F51" s="6" t="e">
        <f>VLOOKUP(C51, [1]VT!C:H, 6, FALSE)</f>
        <v>#N/A</v>
      </c>
      <c r="G51" s="6" t="e">
        <f>VLOOKUP(C51, [1]VT!C:I, 7, FALSE)</f>
        <v>#N/A</v>
      </c>
      <c r="H51" s="2" t="s">
        <v>16</v>
      </c>
      <c r="I51" s="2" t="s">
        <v>28</v>
      </c>
      <c r="J51" s="2" t="s">
        <v>42</v>
      </c>
      <c r="K51" s="2">
        <v>140</v>
      </c>
      <c r="L51" s="2">
        <v>2</v>
      </c>
      <c r="M51" s="2">
        <v>384</v>
      </c>
      <c r="N51" s="2">
        <v>221</v>
      </c>
      <c r="O51" s="2">
        <v>31</v>
      </c>
      <c r="P51" s="2">
        <v>0</v>
      </c>
    </row>
    <row r="52" spans="1:16" x14ac:dyDescent="0.25">
      <c r="A52" s="3">
        <v>46028</v>
      </c>
      <c r="B52" s="2" t="s">
        <v>11</v>
      </c>
      <c r="C52" s="2" t="s">
        <v>74</v>
      </c>
      <c r="D52" s="6" t="str">
        <f>VLOOKUP(C52, '[2]Summery sheet'!B:G, 6, FALSE)</f>
        <v>White</v>
      </c>
      <c r="E52" s="6">
        <f>VLOOKUP(C52, [1]VT!C:G, 5, FALSE)</f>
        <v>78</v>
      </c>
      <c r="F52" s="6">
        <f>VLOOKUP(C52, [1]VT!C:H, 6, FALSE)</f>
        <v>234</v>
      </c>
      <c r="G52" s="6">
        <f>VLOOKUP(C52, [1]VT!C:I, 7, FALSE)</f>
        <v>3</v>
      </c>
      <c r="H52" s="2" t="s">
        <v>16</v>
      </c>
      <c r="I52" s="2" t="s">
        <v>62</v>
      </c>
      <c r="J52" s="2" t="s">
        <v>62</v>
      </c>
      <c r="K52" s="2">
        <v>150</v>
      </c>
      <c r="L52" s="2">
        <v>4</v>
      </c>
      <c r="M52" s="2">
        <v>512</v>
      </c>
      <c r="N52" s="2">
        <v>467</v>
      </c>
      <c r="O52" s="2">
        <v>7</v>
      </c>
      <c r="P52" s="2">
        <v>0</v>
      </c>
    </row>
    <row r="53" spans="1:16" x14ac:dyDescent="0.25">
      <c r="A53" s="3">
        <v>46028</v>
      </c>
      <c r="B53" s="2" t="s">
        <v>11</v>
      </c>
      <c r="C53" s="2" t="s">
        <v>74</v>
      </c>
      <c r="D53" s="6" t="str">
        <f>VLOOKUP(C53, '[2]Summery sheet'!B:G, 6, FALSE)</f>
        <v>White</v>
      </c>
      <c r="E53" s="6">
        <f>VLOOKUP(C53, [1]VT!C:G, 5, FALSE)</f>
        <v>78</v>
      </c>
      <c r="F53" s="6">
        <f>VLOOKUP(C53, [1]VT!C:H, 6, FALSE)</f>
        <v>234</v>
      </c>
      <c r="G53" s="6">
        <f>VLOOKUP(C53, [1]VT!C:I, 7, FALSE)</f>
        <v>3</v>
      </c>
      <c r="H53" s="2" t="s">
        <v>17</v>
      </c>
      <c r="I53" s="2" t="s">
        <v>62</v>
      </c>
      <c r="J53" s="2" t="s">
        <v>62</v>
      </c>
      <c r="K53" s="2">
        <v>150</v>
      </c>
      <c r="L53" s="2">
        <v>6</v>
      </c>
      <c r="M53" s="2">
        <v>768</v>
      </c>
      <c r="N53" s="2">
        <v>760</v>
      </c>
      <c r="O53" s="2">
        <v>12</v>
      </c>
      <c r="P53" s="2">
        <v>0</v>
      </c>
    </row>
    <row r="54" spans="1:16" x14ac:dyDescent="0.25">
      <c r="A54" s="3">
        <v>46028</v>
      </c>
      <c r="B54" s="2" t="s">
        <v>11</v>
      </c>
      <c r="C54" s="1" t="s">
        <v>12</v>
      </c>
      <c r="D54" s="6" t="str">
        <f>VLOOKUP(C54, '[2]Summery sheet'!B:G, 6, FALSE)</f>
        <v>White</v>
      </c>
      <c r="E54" s="6">
        <f>VLOOKUP(C54, [1]VT!C:G, 5, FALSE)</f>
        <v>64</v>
      </c>
      <c r="F54" s="6">
        <f>VLOOKUP(C54, [1]VT!C:H, 6, FALSE)</f>
        <v>384</v>
      </c>
      <c r="G54" s="6">
        <f>VLOOKUP(C54, [1]VT!C:I, 7, FALSE)</f>
        <v>6</v>
      </c>
      <c r="H54" s="2" t="s">
        <v>17</v>
      </c>
      <c r="I54" s="2" t="s">
        <v>23</v>
      </c>
      <c r="J54" s="2" t="s">
        <v>13</v>
      </c>
      <c r="K54" s="2">
        <v>80</v>
      </c>
      <c r="L54" s="2">
        <v>3</v>
      </c>
      <c r="M54" s="2">
        <v>576</v>
      </c>
      <c r="N54" s="2">
        <v>299</v>
      </c>
      <c r="O54" s="2">
        <v>12</v>
      </c>
      <c r="P54" s="2">
        <v>0</v>
      </c>
    </row>
    <row r="55" spans="1:16" x14ac:dyDescent="0.25">
      <c r="A55" s="3">
        <v>46028</v>
      </c>
      <c r="B55" s="2" t="s">
        <v>20</v>
      </c>
      <c r="C55" s="1" t="s">
        <v>26</v>
      </c>
      <c r="D55" s="6" t="str">
        <f>VLOOKUP(C55, '[2]Summery sheet'!B:G, 6, FALSE)</f>
        <v>Black</v>
      </c>
      <c r="E55" s="6">
        <f>VLOOKUP(C55, [1]VT!C:G, 5, FALSE)</f>
        <v>40</v>
      </c>
      <c r="F55" s="6">
        <f>VLOOKUP(C55, [1]VT!C:H, 6, FALSE)</f>
        <v>200</v>
      </c>
      <c r="G55" s="6">
        <f>VLOOKUP(C55, [1]VT!C:I, 7, FALSE)</f>
        <v>5</v>
      </c>
      <c r="H55" s="2" t="s">
        <v>16</v>
      </c>
      <c r="I55" s="2" t="s">
        <v>28</v>
      </c>
      <c r="J55" s="2" t="s">
        <v>28</v>
      </c>
      <c r="K55" s="2">
        <v>140</v>
      </c>
      <c r="L55" s="2">
        <v>3</v>
      </c>
      <c r="M55" s="2">
        <v>600</v>
      </c>
      <c r="N55" s="2">
        <v>166</v>
      </c>
      <c r="O55" s="2">
        <v>10</v>
      </c>
    </row>
    <row r="56" spans="1:16" x14ac:dyDescent="0.25">
      <c r="A56" s="3">
        <v>46028</v>
      </c>
      <c r="B56" s="2" t="s">
        <v>20</v>
      </c>
      <c r="C56" s="1" t="s">
        <v>51</v>
      </c>
      <c r="D56" s="6" t="str">
        <f>VLOOKUP(C56, '[2]Summery sheet'!B:G, 6, FALSE)</f>
        <v>Black</v>
      </c>
      <c r="E56" s="6">
        <f>VLOOKUP(C56, [1]VT!C:G, 5, FALSE)</f>
        <v>8</v>
      </c>
      <c r="F56" s="6">
        <f>VLOOKUP(C56, [1]VT!C:H, 6, FALSE)</f>
        <v>40</v>
      </c>
      <c r="G56" s="6">
        <f>VLOOKUP(C56, [1]VT!C:I, 7, FALSE)</f>
        <v>5</v>
      </c>
      <c r="H56" s="2" t="s">
        <v>16</v>
      </c>
      <c r="I56" s="8">
        <v>46053</v>
      </c>
      <c r="J56" s="8">
        <v>46053</v>
      </c>
      <c r="K56" s="2">
        <v>115</v>
      </c>
      <c r="L56" s="2">
        <v>20</v>
      </c>
      <c r="M56" s="2">
        <v>800</v>
      </c>
      <c r="N56" s="2">
        <v>747</v>
      </c>
      <c r="O56" s="2">
        <v>18</v>
      </c>
      <c r="P56" s="2">
        <v>0</v>
      </c>
    </row>
    <row r="57" spans="1:16" x14ac:dyDescent="0.25">
      <c r="A57" s="3">
        <v>46028</v>
      </c>
      <c r="B57" s="2" t="s">
        <v>20</v>
      </c>
      <c r="C57" s="1" t="s">
        <v>51</v>
      </c>
      <c r="D57" s="6" t="str">
        <f>VLOOKUP(C57, '[2]Summery sheet'!B:G, 6, FALSE)</f>
        <v>Black</v>
      </c>
      <c r="E57" s="6">
        <f>VLOOKUP(C57, [1]VT!C:G, 5, FALSE)</f>
        <v>8</v>
      </c>
      <c r="F57" s="6">
        <f>VLOOKUP(C57, [1]VT!C:H, 6, FALSE)</f>
        <v>40</v>
      </c>
      <c r="G57" s="6">
        <f>VLOOKUP(C57, [1]VT!C:I, 7, FALSE)</f>
        <v>5</v>
      </c>
      <c r="H57" s="2" t="s">
        <v>17</v>
      </c>
      <c r="I57" s="8">
        <v>46053</v>
      </c>
      <c r="J57" s="8">
        <v>46053</v>
      </c>
      <c r="K57" s="2">
        <v>115</v>
      </c>
      <c r="L57" s="2">
        <v>9</v>
      </c>
      <c r="M57" s="2">
        <v>720</v>
      </c>
      <c r="N57" s="2">
        <v>692</v>
      </c>
      <c r="O57" s="2">
        <v>41</v>
      </c>
      <c r="P57" s="2">
        <v>0</v>
      </c>
    </row>
    <row r="58" spans="1:16" x14ac:dyDescent="0.25">
      <c r="A58" s="3">
        <v>46028</v>
      </c>
      <c r="B58" s="2" t="s">
        <v>29</v>
      </c>
      <c r="C58" s="1" t="s">
        <v>52</v>
      </c>
      <c r="D58" s="6" t="str">
        <f>VLOOKUP(C58, '[2]Summery sheet'!B:G, 6, FALSE)</f>
        <v>Black</v>
      </c>
      <c r="E58" s="6">
        <f>VLOOKUP(C58, [1]VT!C:G, 5, FALSE)</f>
        <v>10</v>
      </c>
      <c r="F58" s="6">
        <f>VLOOKUP(C58, [1]VT!C:H, 6, FALSE)</f>
        <v>100</v>
      </c>
      <c r="G58" s="6">
        <f>VLOOKUP(C58, [1]VT!C:I, 7, FALSE)</f>
        <v>10</v>
      </c>
      <c r="H58" s="2" t="s">
        <v>16</v>
      </c>
      <c r="I58" s="2" t="s">
        <v>54</v>
      </c>
      <c r="J58" s="2" t="s">
        <v>54</v>
      </c>
      <c r="K58" s="2">
        <v>95</v>
      </c>
      <c r="L58" s="2">
        <v>11</v>
      </c>
      <c r="M58" s="2">
        <v>880</v>
      </c>
      <c r="N58" s="2">
        <v>979</v>
      </c>
      <c r="O58" s="2">
        <v>40</v>
      </c>
      <c r="P58" s="2">
        <v>0</v>
      </c>
    </row>
    <row r="59" spans="1:16" x14ac:dyDescent="0.25">
      <c r="A59" s="3">
        <v>46028</v>
      </c>
      <c r="B59" s="2" t="s">
        <v>29</v>
      </c>
      <c r="C59" s="1" t="s">
        <v>52</v>
      </c>
      <c r="D59" s="6" t="str">
        <f>VLOOKUP(C59, '[2]Summery sheet'!B:G, 6, FALSE)</f>
        <v>Black</v>
      </c>
      <c r="E59" s="6">
        <f>VLOOKUP(C59, [1]VT!C:G, 5, FALSE)</f>
        <v>10</v>
      </c>
      <c r="F59" s="6">
        <f>VLOOKUP(C59, [1]VT!C:H, 6, FALSE)</f>
        <v>100</v>
      </c>
      <c r="G59" s="6">
        <f>VLOOKUP(C59, [1]VT!C:I, 7, FALSE)</f>
        <v>10</v>
      </c>
      <c r="H59" s="2" t="s">
        <v>17</v>
      </c>
      <c r="I59" s="2" t="s">
        <v>54</v>
      </c>
      <c r="J59" s="2" t="s">
        <v>54</v>
      </c>
      <c r="K59" s="2">
        <v>95</v>
      </c>
      <c r="L59" s="2">
        <v>5</v>
      </c>
      <c r="M59" s="2">
        <v>400</v>
      </c>
      <c r="N59" s="2">
        <v>382</v>
      </c>
      <c r="O59" s="2">
        <v>11</v>
      </c>
      <c r="P59" s="2">
        <v>0</v>
      </c>
    </row>
    <row r="60" spans="1:16" x14ac:dyDescent="0.25">
      <c r="A60" s="3">
        <v>46028</v>
      </c>
      <c r="B60" s="2" t="s">
        <v>29</v>
      </c>
      <c r="C60" s="11" t="s">
        <v>75</v>
      </c>
      <c r="D60" s="6" t="e">
        <f>VLOOKUP(C60, '[2]Summery sheet'!B:G, 6, FALSE)</f>
        <v>#N/A</v>
      </c>
      <c r="E60" s="6">
        <f>VLOOKUP(C60, [1]VT!C:G, 5, FALSE)</f>
        <v>32</v>
      </c>
      <c r="F60" s="6">
        <f>VLOOKUP(C60, [1]VT!C:H, 6, FALSE)</f>
        <v>192</v>
      </c>
      <c r="G60" s="6">
        <f>VLOOKUP(C60, [1]VT!C:I, 7, FALSE)</f>
        <v>6</v>
      </c>
      <c r="H60" s="2" t="s">
        <v>17</v>
      </c>
      <c r="I60" s="2" t="s">
        <v>63</v>
      </c>
      <c r="J60" s="2" t="s">
        <v>63</v>
      </c>
      <c r="K60" s="2">
        <v>120</v>
      </c>
      <c r="L60" s="2" t="s">
        <v>64</v>
      </c>
      <c r="M60" s="2" t="s">
        <v>65</v>
      </c>
      <c r="N60" s="2">
        <v>750</v>
      </c>
      <c r="O60" s="2">
        <v>30</v>
      </c>
      <c r="P60" s="2">
        <v>0</v>
      </c>
    </row>
    <row r="61" spans="1:16" x14ac:dyDescent="0.25">
      <c r="A61" s="3">
        <v>46028</v>
      </c>
      <c r="B61" s="2" t="s">
        <v>36</v>
      </c>
      <c r="C61" s="10" t="s">
        <v>57</v>
      </c>
      <c r="D61" s="6" t="str">
        <f>VLOOKUP(C61, '[2]Summery sheet'!B:G, 6, FALSE)</f>
        <v>White</v>
      </c>
      <c r="E61" s="6">
        <f>VLOOKUP(C61, [1]VT!C:G, 5, FALSE)</f>
        <v>15</v>
      </c>
      <c r="F61" s="6">
        <f>VLOOKUP(C61, [1]VT!C:H, 6, FALSE)</f>
        <v>90</v>
      </c>
      <c r="G61" s="6">
        <f>VLOOKUP(C61, [1]VT!C:I, 7, FALSE)</f>
        <v>6</v>
      </c>
      <c r="H61" s="2" t="s">
        <v>16</v>
      </c>
      <c r="I61" s="2" t="s">
        <v>58</v>
      </c>
      <c r="J61" s="2" t="s">
        <v>58</v>
      </c>
      <c r="K61" s="2">
        <v>100</v>
      </c>
      <c r="L61" s="2">
        <v>5</v>
      </c>
      <c r="M61" s="2">
        <v>640</v>
      </c>
      <c r="N61" s="2">
        <v>319</v>
      </c>
      <c r="O61" s="2">
        <v>30</v>
      </c>
      <c r="P61" s="2">
        <v>0</v>
      </c>
    </row>
    <row r="62" spans="1:16" x14ac:dyDescent="0.25">
      <c r="A62" s="3">
        <v>46028</v>
      </c>
      <c r="B62" s="2" t="s">
        <v>36</v>
      </c>
      <c r="C62" s="12" t="s">
        <v>18</v>
      </c>
      <c r="D62" s="6" t="str">
        <f>VLOOKUP(C62, '[2]Summery sheet'!B:G, 6, FALSE)</f>
        <v>White</v>
      </c>
      <c r="E62" s="6">
        <f>VLOOKUP(C62, [1]VT!C:G, 5, FALSE)</f>
        <v>8</v>
      </c>
      <c r="F62" s="6">
        <f>VLOOKUP(C62, [1]VT!C:H, 6, FALSE)</f>
        <v>40</v>
      </c>
      <c r="G62" s="6">
        <f>VLOOKUP(C62, [1]VT!C:I, 7, FALSE)</f>
        <v>5</v>
      </c>
      <c r="H62" s="2" t="s">
        <v>16</v>
      </c>
      <c r="I62" s="2" t="s">
        <v>19</v>
      </c>
      <c r="J62" s="2" t="s">
        <v>19</v>
      </c>
      <c r="K62" s="2">
        <v>100</v>
      </c>
      <c r="L62" s="2">
        <v>20</v>
      </c>
      <c r="M62" s="2">
        <v>800</v>
      </c>
      <c r="N62" s="2">
        <v>740</v>
      </c>
      <c r="O62" s="2">
        <v>10</v>
      </c>
      <c r="P62" s="2">
        <v>0</v>
      </c>
    </row>
    <row r="63" spans="1:16" x14ac:dyDescent="0.25">
      <c r="A63" s="3">
        <v>46028</v>
      </c>
      <c r="B63" s="2" t="s">
        <v>36</v>
      </c>
      <c r="C63" s="12" t="s">
        <v>18</v>
      </c>
      <c r="D63" s="6" t="str">
        <f>VLOOKUP(C63, '[2]Summery sheet'!B:G, 6, FALSE)</f>
        <v>White</v>
      </c>
      <c r="E63" s="6">
        <f>VLOOKUP(C63, [1]VT!C:G, 5, FALSE)</f>
        <v>8</v>
      </c>
      <c r="F63" s="6">
        <f>VLOOKUP(C63, [1]VT!C:H, 6, FALSE)</f>
        <v>40</v>
      </c>
      <c r="G63" s="6">
        <f>VLOOKUP(C63, [1]VT!C:I, 7, FALSE)</f>
        <v>5</v>
      </c>
      <c r="H63" s="2" t="s">
        <v>17</v>
      </c>
      <c r="I63" s="2" t="s">
        <v>19</v>
      </c>
      <c r="J63" s="2" t="s">
        <v>19</v>
      </c>
      <c r="K63" s="2">
        <v>100</v>
      </c>
      <c r="L63" s="2">
        <v>10</v>
      </c>
      <c r="M63" s="2">
        <v>400</v>
      </c>
      <c r="N63" s="2">
        <v>340</v>
      </c>
      <c r="O63" s="2">
        <v>10</v>
      </c>
      <c r="P63" s="2">
        <v>0</v>
      </c>
    </row>
    <row r="64" spans="1:16" x14ac:dyDescent="0.25">
      <c r="A64" s="3">
        <v>46028</v>
      </c>
      <c r="B64" s="2" t="s">
        <v>36</v>
      </c>
      <c r="C64" s="13" t="s">
        <v>22</v>
      </c>
      <c r="D64" s="6" t="str">
        <f>VLOOKUP(C64, '[2]Summery sheet'!B:G, 6, FALSE)</f>
        <v>White</v>
      </c>
      <c r="E64" s="6">
        <f>VLOOKUP(C64, [1]VT!C:G, 5, FALSE)</f>
        <v>16</v>
      </c>
      <c r="F64" s="6">
        <f>VLOOKUP(C64, [1]VT!C:H, 6, FALSE)</f>
        <v>64</v>
      </c>
      <c r="G64" s="6">
        <f>VLOOKUP(C64, [1]VT!C:I, 7, FALSE)</f>
        <v>4</v>
      </c>
      <c r="H64" s="2" t="s">
        <v>17</v>
      </c>
      <c r="I64" s="2" t="s">
        <v>25</v>
      </c>
      <c r="J64" s="2" t="s">
        <v>25</v>
      </c>
      <c r="K64" s="2">
        <v>80</v>
      </c>
      <c r="L64" s="2">
        <v>8</v>
      </c>
      <c r="M64" s="2">
        <v>640</v>
      </c>
      <c r="N64" s="2">
        <v>640</v>
      </c>
      <c r="O64" s="2">
        <v>10</v>
      </c>
      <c r="P64" s="2">
        <v>0</v>
      </c>
    </row>
    <row r="65" spans="1:16" x14ac:dyDescent="0.25">
      <c r="A65" s="3">
        <v>46029</v>
      </c>
      <c r="B65" s="2" t="s">
        <v>11</v>
      </c>
      <c r="C65" s="6" t="s">
        <v>12</v>
      </c>
      <c r="D65" s="6" t="str">
        <f>VLOOKUP(C65, '[2]Summery sheet'!B:G, 6, FALSE)</f>
        <v>White</v>
      </c>
      <c r="E65" s="6">
        <f>VLOOKUP(C65, [1]VT!C:G, 5, FALSE)</f>
        <v>64</v>
      </c>
      <c r="F65" s="6">
        <f>VLOOKUP(C65, [1]VT!C:H, 6, FALSE)</f>
        <v>384</v>
      </c>
      <c r="G65" s="6">
        <f>VLOOKUP(C65, [1]VT!C:I, 7, FALSE)</f>
        <v>6</v>
      </c>
      <c r="H65" s="2" t="s">
        <v>16</v>
      </c>
      <c r="I65" s="2" t="s">
        <v>23</v>
      </c>
      <c r="J65" s="2" t="s">
        <v>13</v>
      </c>
      <c r="K65" s="2">
        <v>80</v>
      </c>
      <c r="L65" s="2">
        <v>4</v>
      </c>
      <c r="M65" s="2">
        <v>768</v>
      </c>
      <c r="N65" s="2">
        <v>637</v>
      </c>
      <c r="O65" s="2">
        <v>20</v>
      </c>
      <c r="P65" s="2">
        <v>47</v>
      </c>
    </row>
    <row r="66" spans="1:16" x14ac:dyDescent="0.25">
      <c r="A66" s="3">
        <v>46029</v>
      </c>
      <c r="B66" s="2" t="s">
        <v>11</v>
      </c>
      <c r="C66" s="6" t="s">
        <v>12</v>
      </c>
      <c r="D66" s="6" t="str">
        <f>VLOOKUP(C66, '[2]Summery sheet'!B:G, 6, FALSE)</f>
        <v>White</v>
      </c>
      <c r="E66" s="6">
        <f>VLOOKUP(C66, [1]VT!C:G, 5, FALSE)</f>
        <v>64</v>
      </c>
      <c r="F66" s="6">
        <f>VLOOKUP(C66, [1]VT!C:H, 6, FALSE)</f>
        <v>384</v>
      </c>
      <c r="G66" s="6">
        <f>VLOOKUP(C66, [1]VT!C:I, 7, FALSE)</f>
        <v>6</v>
      </c>
      <c r="H66" s="2" t="s">
        <v>17</v>
      </c>
      <c r="I66" s="2" t="s">
        <v>23</v>
      </c>
      <c r="J66" s="2" t="s">
        <v>13</v>
      </c>
      <c r="K66" s="2">
        <v>80</v>
      </c>
      <c r="L66" s="2">
        <v>4</v>
      </c>
      <c r="M66" s="2">
        <v>768</v>
      </c>
      <c r="N66" s="2">
        <v>586</v>
      </c>
      <c r="O66" s="2">
        <v>24</v>
      </c>
      <c r="P66" s="2">
        <v>0</v>
      </c>
    </row>
    <row r="67" spans="1:16" x14ac:dyDescent="0.25">
      <c r="A67" s="3">
        <v>46029</v>
      </c>
      <c r="B67" s="2" t="s">
        <v>20</v>
      </c>
      <c r="C67" s="6" t="s">
        <v>51</v>
      </c>
      <c r="D67" s="6" t="str">
        <f>VLOOKUP(C67, '[2]Summery sheet'!B:G, 6, FALSE)</f>
        <v>Black</v>
      </c>
      <c r="E67" s="6">
        <f>VLOOKUP(C67, [1]VT!C:G, 5, FALSE)</f>
        <v>8</v>
      </c>
      <c r="F67" s="6">
        <f>VLOOKUP(C67, [1]VT!C:H, 6, FALSE)</f>
        <v>40</v>
      </c>
      <c r="G67" s="6">
        <f>VLOOKUP(C67, [1]VT!C:I, 7, FALSE)</f>
        <v>5</v>
      </c>
      <c r="H67" s="2" t="s">
        <v>16</v>
      </c>
      <c r="I67" s="8">
        <v>46053</v>
      </c>
      <c r="J67" s="8">
        <v>46053</v>
      </c>
      <c r="K67" s="2">
        <v>115</v>
      </c>
      <c r="L67" s="2">
        <v>30</v>
      </c>
      <c r="M67" s="2">
        <v>1200</v>
      </c>
      <c r="N67" s="2">
        <v>781</v>
      </c>
      <c r="O67" s="2">
        <v>10</v>
      </c>
      <c r="P67" s="2">
        <v>49</v>
      </c>
    </row>
    <row r="68" spans="1:16" x14ac:dyDescent="0.25">
      <c r="A68" s="3">
        <v>46029</v>
      </c>
      <c r="B68" s="2" t="s">
        <v>20</v>
      </c>
      <c r="C68" s="1" t="s">
        <v>51</v>
      </c>
      <c r="D68" s="6" t="str">
        <f>VLOOKUP(C68, '[2]Summery sheet'!B:G, 6, FALSE)</f>
        <v>Black</v>
      </c>
      <c r="E68" s="6">
        <f>VLOOKUP(C68, [1]VT!C:G, 5, FALSE)</f>
        <v>8</v>
      </c>
      <c r="F68" s="6">
        <f>VLOOKUP(C68, [1]VT!C:H, 6, FALSE)</f>
        <v>40</v>
      </c>
      <c r="G68" s="6">
        <f>VLOOKUP(C68, [1]VT!C:I, 7, FALSE)</f>
        <v>5</v>
      </c>
      <c r="H68" s="2" t="s">
        <v>17</v>
      </c>
      <c r="I68" s="8">
        <v>46053</v>
      </c>
      <c r="J68" s="8">
        <v>46053</v>
      </c>
      <c r="K68" s="2">
        <v>115</v>
      </c>
      <c r="L68" s="2">
        <v>10</v>
      </c>
      <c r="M68" s="2">
        <v>800</v>
      </c>
      <c r="N68" s="2">
        <v>650</v>
      </c>
      <c r="O68" s="2">
        <v>32</v>
      </c>
      <c r="P68" s="2">
        <v>40</v>
      </c>
    </row>
    <row r="69" spans="1:16" x14ac:dyDescent="0.25">
      <c r="A69" s="3">
        <v>46029</v>
      </c>
      <c r="B69" s="2" t="s">
        <v>29</v>
      </c>
      <c r="C69" s="11" t="s">
        <v>75</v>
      </c>
      <c r="D69" s="6" t="e">
        <f>VLOOKUP(C69, '[2]Summery sheet'!B:G, 6, FALSE)</f>
        <v>#N/A</v>
      </c>
      <c r="E69" s="6">
        <f>VLOOKUP(C69, [1]VT!C:G, 5, FALSE)</f>
        <v>32</v>
      </c>
      <c r="F69" s="6">
        <f>VLOOKUP(C69, [1]VT!C:H, 6, FALSE)</f>
        <v>192</v>
      </c>
      <c r="G69" s="6">
        <f>VLOOKUP(C69, [1]VT!C:I, 7, FALSE)</f>
        <v>6</v>
      </c>
      <c r="H69" s="2" t="s">
        <v>16</v>
      </c>
      <c r="I69" s="2" t="s">
        <v>63</v>
      </c>
      <c r="J69" s="2" t="s">
        <v>63</v>
      </c>
      <c r="K69" s="2">
        <v>120</v>
      </c>
      <c r="L69" s="2">
        <v>1</v>
      </c>
      <c r="M69" s="2">
        <v>160</v>
      </c>
      <c r="N69" s="2">
        <v>134</v>
      </c>
      <c r="O69" s="2">
        <v>6</v>
      </c>
      <c r="P69" s="2">
        <v>0</v>
      </c>
    </row>
    <row r="70" spans="1:16" x14ac:dyDescent="0.25">
      <c r="A70" s="3">
        <v>46029</v>
      </c>
      <c r="B70" s="2" t="s">
        <v>29</v>
      </c>
      <c r="C70" s="11" t="s">
        <v>66</v>
      </c>
      <c r="D70" s="6" t="e">
        <f>VLOOKUP(C70, '[2]Summery sheet'!B:G, 6, FALSE)</f>
        <v>#N/A</v>
      </c>
      <c r="E70" s="6" t="e">
        <f>VLOOKUP(C70, [1]VT!C:G, 5, FALSE)</f>
        <v>#N/A</v>
      </c>
      <c r="F70" s="6" t="e">
        <f>VLOOKUP(C70, [1]VT!C:H, 6, FALSE)</f>
        <v>#N/A</v>
      </c>
      <c r="G70" s="6" t="e">
        <f>VLOOKUP(C70, [1]VT!C:I, 7, FALSE)</f>
        <v>#N/A</v>
      </c>
      <c r="H70" s="2" t="s">
        <v>16</v>
      </c>
      <c r="I70" s="2" t="s">
        <v>48</v>
      </c>
      <c r="J70" s="2" t="s">
        <v>48</v>
      </c>
      <c r="K70" s="2">
        <v>46</v>
      </c>
      <c r="L70" s="2">
        <v>1</v>
      </c>
      <c r="M70" s="2">
        <v>288</v>
      </c>
      <c r="N70" s="2">
        <v>421</v>
      </c>
      <c r="O70" s="2">
        <v>17</v>
      </c>
      <c r="P70" s="2">
        <v>0</v>
      </c>
    </row>
    <row r="71" spans="1:16" x14ac:dyDescent="0.25">
      <c r="A71" s="3">
        <v>46029</v>
      </c>
      <c r="B71" s="2" t="s">
        <v>29</v>
      </c>
      <c r="C71" s="11" t="s">
        <v>66</v>
      </c>
      <c r="D71" s="6" t="e">
        <f>VLOOKUP(C71, '[2]Summery sheet'!B:G, 6, FALSE)</f>
        <v>#N/A</v>
      </c>
      <c r="E71" s="6" t="e">
        <f>VLOOKUP(C71, [1]VT!C:G, 5, FALSE)</f>
        <v>#N/A</v>
      </c>
      <c r="F71" s="6" t="e">
        <f>VLOOKUP(C71, [1]VT!C:H, 6, FALSE)</f>
        <v>#N/A</v>
      </c>
      <c r="G71" s="6" t="e">
        <f>VLOOKUP(C71, [1]VT!C:I, 7, FALSE)</f>
        <v>#N/A</v>
      </c>
      <c r="H71" s="2" t="s">
        <v>17</v>
      </c>
      <c r="I71" s="2" t="s">
        <v>48</v>
      </c>
      <c r="J71" s="2" t="s">
        <v>48</v>
      </c>
      <c r="K71" s="2">
        <v>46</v>
      </c>
      <c r="L71" s="2" t="s">
        <v>67</v>
      </c>
      <c r="M71" s="2" t="s">
        <v>67</v>
      </c>
      <c r="N71" s="2">
        <v>240</v>
      </c>
      <c r="O71" s="2">
        <v>12</v>
      </c>
      <c r="P71" s="2">
        <v>0</v>
      </c>
    </row>
    <row r="72" spans="1:16" x14ac:dyDescent="0.25">
      <c r="A72" s="3">
        <v>46029</v>
      </c>
      <c r="B72" s="2" t="s">
        <v>29</v>
      </c>
      <c r="C72" s="1" t="s">
        <v>27</v>
      </c>
      <c r="D72" s="6" t="str">
        <f>VLOOKUP(C72, '[2]Summery sheet'!B:G, 6, FALSE)</f>
        <v>Black</v>
      </c>
      <c r="E72" s="6">
        <f>VLOOKUP(C72, [1]VT!C:G, 5, FALSE)</f>
        <v>10</v>
      </c>
      <c r="F72" s="6">
        <f>VLOOKUP(C72, [1]VT!C:H, 6, FALSE)</f>
        <v>100</v>
      </c>
      <c r="G72" s="6">
        <f>VLOOKUP(C72, [1]VT!C:I, 7, FALSE)</f>
        <v>10</v>
      </c>
      <c r="H72" s="2" t="s">
        <v>17</v>
      </c>
      <c r="I72" s="2" t="s">
        <v>25</v>
      </c>
      <c r="J72" s="2" t="s">
        <v>25</v>
      </c>
      <c r="K72" s="2">
        <v>80</v>
      </c>
      <c r="L72" s="2" t="s">
        <v>67</v>
      </c>
      <c r="M72" s="2" t="s">
        <v>67</v>
      </c>
      <c r="N72" s="2">
        <v>445</v>
      </c>
      <c r="O72" s="2">
        <v>20</v>
      </c>
      <c r="P72" s="2">
        <v>0</v>
      </c>
    </row>
    <row r="73" spans="1:16" x14ac:dyDescent="0.25">
      <c r="A73" s="3">
        <v>46029</v>
      </c>
      <c r="B73" s="2" t="s">
        <v>36</v>
      </c>
      <c r="C73" s="10" t="s">
        <v>22</v>
      </c>
      <c r="D73" s="6" t="str">
        <f>VLOOKUP(C73, '[2]Summery sheet'!B:G, 6, FALSE)</f>
        <v>White</v>
      </c>
      <c r="E73" s="6">
        <f>VLOOKUP(C73, [1]VT!C:G, 5, FALSE)</f>
        <v>16</v>
      </c>
      <c r="F73" s="6">
        <f>VLOOKUP(C73, [1]VT!C:H, 6, FALSE)</f>
        <v>64</v>
      </c>
      <c r="G73" s="6">
        <f>VLOOKUP(C73, [1]VT!C:I, 7, FALSE)</f>
        <v>4</v>
      </c>
      <c r="H73" s="2" t="s">
        <v>16</v>
      </c>
      <c r="I73" s="2" t="s">
        <v>25</v>
      </c>
      <c r="J73" s="2" t="s">
        <v>25</v>
      </c>
      <c r="K73" s="2">
        <v>80</v>
      </c>
      <c r="L73" s="2">
        <v>10</v>
      </c>
      <c r="M73" s="2">
        <v>800</v>
      </c>
      <c r="N73" s="2">
        <v>486</v>
      </c>
      <c r="O73" s="2">
        <v>14</v>
      </c>
      <c r="P73" s="2">
        <v>0</v>
      </c>
    </row>
    <row r="74" spans="1:16" x14ac:dyDescent="0.25">
      <c r="A74" s="3">
        <v>46029</v>
      </c>
      <c r="B74" s="2" t="s">
        <v>36</v>
      </c>
      <c r="C74" s="2" t="s">
        <v>68</v>
      </c>
      <c r="D74" s="6" t="str">
        <f>VLOOKUP(C74, '[2]Summery sheet'!B:G, 6, FALSE)</f>
        <v>Blue</v>
      </c>
      <c r="E74" s="6">
        <f>VLOOKUP(C74, [1]VT!C:G, 5, FALSE)</f>
        <v>20</v>
      </c>
      <c r="F74" s="6">
        <f>VLOOKUP(C74, [1]VT!C:H, 6, FALSE)</f>
        <v>160</v>
      </c>
      <c r="G74" s="6">
        <f>VLOOKUP(C74, [1]VT!C:I, 7, FALSE)</f>
        <v>8</v>
      </c>
      <c r="H74" s="2" t="s">
        <v>16</v>
      </c>
      <c r="I74" s="2" t="s">
        <v>69</v>
      </c>
      <c r="J74" s="2" t="s">
        <v>69</v>
      </c>
      <c r="K74" s="2">
        <v>66</v>
      </c>
      <c r="L74" s="2">
        <v>2</v>
      </c>
      <c r="M74" s="2">
        <v>320</v>
      </c>
      <c r="N74" s="2">
        <v>264</v>
      </c>
      <c r="O74" s="2">
        <v>20</v>
      </c>
      <c r="P74" s="2">
        <v>0</v>
      </c>
    </row>
    <row r="75" spans="1:16" x14ac:dyDescent="0.25">
      <c r="A75" s="3">
        <v>46029</v>
      </c>
      <c r="B75" s="2" t="s">
        <v>36</v>
      </c>
      <c r="C75" s="2" t="s">
        <v>68</v>
      </c>
      <c r="D75" s="6" t="str">
        <f>VLOOKUP(C75, '[2]Summery sheet'!B:G, 6, FALSE)</f>
        <v>Blue</v>
      </c>
      <c r="E75" s="6">
        <f>VLOOKUP(C75, [1]VT!C:G, 5, FALSE)</f>
        <v>20</v>
      </c>
      <c r="F75" s="6">
        <f>VLOOKUP(C75, [1]VT!C:H, 6, FALSE)</f>
        <v>160</v>
      </c>
      <c r="G75" s="6">
        <f>VLOOKUP(C75, [1]VT!C:I, 7, FALSE)</f>
        <v>8</v>
      </c>
      <c r="H75" s="2" t="s">
        <v>17</v>
      </c>
      <c r="I75" s="2" t="s">
        <v>69</v>
      </c>
      <c r="J75" s="2" t="s">
        <v>69</v>
      </c>
      <c r="K75" s="2">
        <v>66</v>
      </c>
      <c r="L75" s="2">
        <v>5</v>
      </c>
      <c r="M75" s="2">
        <v>800</v>
      </c>
      <c r="N75" s="2">
        <v>722</v>
      </c>
      <c r="O75" s="2">
        <v>14</v>
      </c>
      <c r="P75" s="2">
        <v>0</v>
      </c>
    </row>
  </sheetData>
  <sortState xmlns:xlrd2="http://schemas.microsoft.com/office/spreadsheetml/2017/richdata2" ref="A2:P75">
    <sortCondition ref="A2:A75"/>
  </sortState>
  <phoneticPr fontId="2" type="noConversion"/>
  <conditionalFormatting sqref="A1">
    <cfRule type="duplicateValues" dxfId="121" priority="67"/>
  </conditionalFormatting>
  <conditionalFormatting sqref="C2 H2">
    <cfRule type="duplicateValues" dxfId="120" priority="66"/>
  </conditionalFormatting>
  <conditionalFormatting sqref="C3">
    <cfRule type="duplicateValues" dxfId="119" priority="65"/>
  </conditionalFormatting>
  <conditionalFormatting sqref="C4">
    <cfRule type="duplicateValues" dxfId="118" priority="64"/>
  </conditionalFormatting>
  <conditionalFormatting sqref="C5">
    <cfRule type="duplicateValues" dxfId="117" priority="63"/>
  </conditionalFormatting>
  <conditionalFormatting sqref="C6">
    <cfRule type="duplicateValues" dxfId="116" priority="62"/>
  </conditionalFormatting>
  <conditionalFormatting sqref="C7">
    <cfRule type="duplicateValues" dxfId="115" priority="61"/>
  </conditionalFormatting>
  <conditionalFormatting sqref="C8">
    <cfRule type="duplicateValues" dxfId="114" priority="60"/>
  </conditionalFormatting>
  <conditionalFormatting sqref="C9">
    <cfRule type="duplicateValues" dxfId="113" priority="59"/>
  </conditionalFormatting>
  <conditionalFormatting sqref="C10">
    <cfRule type="duplicateValues" dxfId="112" priority="58"/>
  </conditionalFormatting>
  <conditionalFormatting sqref="C11">
    <cfRule type="duplicateValues" dxfId="111" priority="57"/>
  </conditionalFormatting>
  <conditionalFormatting sqref="C12">
    <cfRule type="duplicateValues" dxfId="110" priority="56"/>
  </conditionalFormatting>
  <conditionalFormatting sqref="C13">
    <cfRule type="duplicateValues" dxfId="109" priority="55"/>
  </conditionalFormatting>
  <conditionalFormatting sqref="C16">
    <cfRule type="duplicateValues" dxfId="108" priority="52"/>
  </conditionalFormatting>
  <conditionalFormatting sqref="C17">
    <cfRule type="duplicateValues" dxfId="107" priority="51"/>
  </conditionalFormatting>
  <conditionalFormatting sqref="C19">
    <cfRule type="duplicateValues" dxfId="106" priority="49"/>
  </conditionalFormatting>
  <conditionalFormatting sqref="C20">
    <cfRule type="duplicateValues" dxfId="105" priority="48"/>
  </conditionalFormatting>
  <conditionalFormatting sqref="C21">
    <cfRule type="duplicateValues" dxfId="104" priority="47"/>
  </conditionalFormatting>
  <conditionalFormatting sqref="C24">
    <cfRule type="duplicateValues" dxfId="103" priority="46"/>
  </conditionalFormatting>
  <conditionalFormatting sqref="C25">
    <cfRule type="duplicateValues" dxfId="102" priority="45"/>
  </conditionalFormatting>
  <conditionalFormatting sqref="C26">
    <cfRule type="duplicateValues" dxfId="101" priority="44"/>
  </conditionalFormatting>
  <conditionalFormatting sqref="C27">
    <cfRule type="duplicateValues" dxfId="100" priority="43"/>
  </conditionalFormatting>
  <conditionalFormatting sqref="C28">
    <cfRule type="duplicateValues" dxfId="99" priority="42"/>
  </conditionalFormatting>
  <conditionalFormatting sqref="C31">
    <cfRule type="duplicateValues" dxfId="98" priority="41"/>
  </conditionalFormatting>
  <conditionalFormatting sqref="C32">
    <cfRule type="duplicateValues" dxfId="97" priority="40"/>
  </conditionalFormatting>
  <conditionalFormatting sqref="C34">
    <cfRule type="duplicateValues" dxfId="96" priority="39"/>
  </conditionalFormatting>
  <conditionalFormatting sqref="C35">
    <cfRule type="duplicateValues" dxfId="95" priority="38"/>
  </conditionalFormatting>
  <conditionalFormatting sqref="C36">
    <cfRule type="duplicateValues" dxfId="94" priority="37"/>
  </conditionalFormatting>
  <conditionalFormatting sqref="C37">
    <cfRule type="duplicateValues" dxfId="93" priority="36"/>
  </conditionalFormatting>
  <conditionalFormatting sqref="C38">
    <cfRule type="duplicateValues" dxfId="92" priority="35"/>
  </conditionalFormatting>
  <conditionalFormatting sqref="C39">
    <cfRule type="duplicateValues" dxfId="91" priority="34"/>
  </conditionalFormatting>
  <conditionalFormatting sqref="C40">
    <cfRule type="duplicateValues" dxfId="90" priority="33"/>
  </conditionalFormatting>
  <conditionalFormatting sqref="C41">
    <cfRule type="duplicateValues" dxfId="89" priority="32"/>
  </conditionalFormatting>
  <conditionalFormatting sqref="C42">
    <cfRule type="duplicateValues" dxfId="88" priority="31"/>
  </conditionalFormatting>
  <conditionalFormatting sqref="C43">
    <cfRule type="duplicateValues" dxfId="87" priority="30"/>
  </conditionalFormatting>
  <conditionalFormatting sqref="C44">
    <cfRule type="duplicateValues" dxfId="86" priority="29"/>
  </conditionalFormatting>
  <conditionalFormatting sqref="C45">
    <cfRule type="duplicateValues" dxfId="85" priority="28"/>
  </conditionalFormatting>
  <conditionalFormatting sqref="C46">
    <cfRule type="duplicateValues" dxfId="84" priority="27"/>
  </conditionalFormatting>
  <conditionalFormatting sqref="C47">
    <cfRule type="duplicateValues" dxfId="83" priority="26"/>
  </conditionalFormatting>
  <conditionalFormatting sqref="C48">
    <cfRule type="duplicateValues" dxfId="82" priority="25"/>
  </conditionalFormatting>
  <conditionalFormatting sqref="C49">
    <cfRule type="duplicateValues" dxfId="81" priority="24"/>
  </conditionalFormatting>
  <conditionalFormatting sqref="C50">
    <cfRule type="duplicateValues" dxfId="80" priority="23"/>
  </conditionalFormatting>
  <conditionalFormatting sqref="C54">
    <cfRule type="duplicateValues" dxfId="79" priority="21"/>
  </conditionalFormatting>
  <conditionalFormatting sqref="C55">
    <cfRule type="duplicateValues" dxfId="78" priority="20"/>
  </conditionalFormatting>
  <conditionalFormatting sqref="C56">
    <cfRule type="duplicateValues" dxfId="77" priority="19"/>
  </conditionalFormatting>
  <conditionalFormatting sqref="C60">
    <cfRule type="duplicateValues" dxfId="76" priority="18"/>
  </conditionalFormatting>
  <conditionalFormatting sqref="C61">
    <cfRule type="duplicateValues" dxfId="75" priority="17"/>
  </conditionalFormatting>
  <conditionalFormatting sqref="C57">
    <cfRule type="duplicateValues" dxfId="74" priority="16"/>
  </conditionalFormatting>
  <conditionalFormatting sqref="C58">
    <cfRule type="duplicateValues" dxfId="73" priority="15"/>
  </conditionalFormatting>
  <conditionalFormatting sqref="C59">
    <cfRule type="duplicateValues" dxfId="72" priority="14"/>
  </conditionalFormatting>
  <conditionalFormatting sqref="C62">
    <cfRule type="duplicateValues" dxfId="71" priority="13"/>
  </conditionalFormatting>
  <conditionalFormatting sqref="C63">
    <cfRule type="duplicateValues" dxfId="70" priority="12"/>
  </conditionalFormatting>
  <conditionalFormatting sqref="C68">
    <cfRule type="duplicateValues" dxfId="69" priority="11"/>
  </conditionalFormatting>
  <conditionalFormatting sqref="C69">
    <cfRule type="duplicateValues" dxfId="68" priority="10"/>
  </conditionalFormatting>
  <conditionalFormatting sqref="C70">
    <cfRule type="duplicateValues" dxfId="67" priority="9"/>
  </conditionalFormatting>
  <conditionalFormatting sqref="C71">
    <cfRule type="duplicateValues" dxfId="66" priority="8"/>
  </conditionalFormatting>
  <conditionalFormatting sqref="C72">
    <cfRule type="duplicateValues" dxfId="65" priority="7"/>
  </conditionalFormatting>
  <conditionalFormatting sqref="C73">
    <cfRule type="duplicateValues" dxfId="64" priority="6"/>
  </conditionalFormatting>
  <conditionalFormatting sqref="C18">
    <cfRule type="duplicateValues" dxfId="63" priority="3"/>
  </conditionalFormatting>
  <conditionalFormatting sqref="C14">
    <cfRule type="duplicateValues" dxfId="62" priority="2"/>
  </conditionalFormatting>
  <conditionalFormatting sqref="C15">
    <cfRule type="duplicateValues" dxfId="6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(Int)/MRPL/HRM/MNSR</dc:creator>
  <cp:lastModifiedBy>Intern (Int)/MRPL/HRM/MNSR</cp:lastModifiedBy>
  <dcterms:created xsi:type="dcterms:W3CDTF">2026-02-07T08:51:20Z</dcterms:created>
  <dcterms:modified xsi:type="dcterms:W3CDTF">2026-02-09T10:51:15Z</dcterms:modified>
</cp:coreProperties>
</file>