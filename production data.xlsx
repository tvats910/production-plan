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shar\"/>
    </mc:Choice>
  </mc:AlternateContent>
  <xr:revisionPtr revIDLastSave="0" documentId="13_ncr:1_{2771EACF-159C-44E8-B2F2-26A7F989F54D}" xr6:coauthVersionLast="47" xr6:coauthVersionMax="47" xr10:uidLastSave="{00000000-0000-0000-0000-000000000000}"/>
  <bookViews>
    <workbookView xWindow="-120" yWindow="-120" windowWidth="29040" windowHeight="17640" xr2:uid="{609407B5-4368-44A2-9970-18649C95028E}"/>
  </bookViews>
  <sheets>
    <sheet name="Master 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2" i="1"/>
  <c r="L279" i="1" l="1"/>
  <c r="L278" i="1"/>
  <c r="M279" i="1"/>
  <c r="M278" i="1"/>
  <c r="M277" i="1"/>
  <c r="L277" i="1"/>
  <c r="L275" i="1"/>
  <c r="L276" i="1"/>
  <c r="M276" i="1"/>
  <c r="L274" i="1"/>
  <c r="M275" i="1"/>
  <c r="M274" i="1"/>
  <c r="L272" i="1"/>
  <c r="L273" i="1"/>
  <c r="M273" i="1"/>
  <c r="M272" i="1"/>
  <c r="L271" i="1"/>
  <c r="L270" i="1"/>
  <c r="L269" i="1"/>
  <c r="M271" i="1"/>
  <c r="M270" i="1"/>
  <c r="M269" i="1"/>
  <c r="L268" i="1"/>
  <c r="L267" i="1"/>
  <c r="M268" i="1"/>
  <c r="M267" i="1"/>
  <c r="L266" i="1"/>
  <c r="L265" i="1"/>
  <c r="M266" i="1"/>
  <c r="M265" i="1"/>
  <c r="L264" i="1"/>
  <c r="L263" i="1"/>
  <c r="M264" i="1"/>
  <c r="M263" i="1"/>
  <c r="L262" i="1"/>
  <c r="L261" i="1"/>
  <c r="M262" i="1"/>
  <c r="M261" i="1"/>
  <c r="L260" i="1"/>
  <c r="L259" i="1"/>
  <c r="M260" i="1"/>
  <c r="M259" i="1"/>
  <c r="L258" i="1"/>
  <c r="L257" i="1"/>
  <c r="M258" i="1"/>
  <c r="M257" i="1"/>
  <c r="L256" i="1"/>
  <c r="L255" i="1"/>
  <c r="L254" i="1"/>
  <c r="M256" i="1"/>
  <c r="M255" i="1"/>
  <c r="M254" i="1"/>
  <c r="L253" i="1"/>
  <c r="L252" i="1"/>
  <c r="L251" i="1"/>
  <c r="M253" i="1"/>
  <c r="M252" i="1"/>
  <c r="M251" i="1"/>
  <c r="L250" i="1"/>
  <c r="L249" i="1"/>
  <c r="M250" i="1"/>
  <c r="M249" i="1"/>
  <c r="L248" i="1"/>
  <c r="L247" i="1"/>
  <c r="M248" i="1"/>
  <c r="M247" i="1"/>
  <c r="L246" i="1"/>
  <c r="L245" i="1"/>
  <c r="L244" i="1"/>
  <c r="L243" i="1"/>
  <c r="M246" i="1"/>
  <c r="M245" i="1"/>
  <c r="M244" i="1"/>
  <c r="M243" i="1"/>
  <c r="M242" i="1"/>
  <c r="L242" i="1"/>
  <c r="L241" i="1"/>
  <c r="M241" i="1"/>
  <c r="L240" i="1"/>
  <c r="L239" i="1"/>
  <c r="M240" i="1"/>
  <c r="M239" i="1"/>
  <c r="L238" i="1"/>
  <c r="L237" i="1"/>
  <c r="M238" i="1"/>
  <c r="M237" i="1"/>
  <c r="L236" i="1"/>
  <c r="L235" i="1"/>
  <c r="L234" i="1"/>
  <c r="L233" i="1"/>
  <c r="M236" i="1"/>
  <c r="M235" i="1"/>
  <c r="M234" i="1"/>
  <c r="M233" i="1"/>
  <c r="L232" i="1"/>
  <c r="L231" i="1"/>
  <c r="L230" i="1"/>
  <c r="M232" i="1"/>
  <c r="M231" i="1"/>
  <c r="M230" i="1"/>
  <c r="L229" i="1"/>
  <c r="L228" i="1"/>
  <c r="L227" i="1"/>
  <c r="L226" i="1"/>
  <c r="M229" i="1"/>
  <c r="M228" i="1"/>
  <c r="M227" i="1"/>
  <c r="M226" i="1"/>
  <c r="L225" i="1"/>
  <c r="L224" i="1"/>
  <c r="L223" i="1"/>
  <c r="L222" i="1"/>
  <c r="M225" i="1"/>
  <c r="M224" i="1"/>
  <c r="M223" i="1"/>
  <c r="M222" i="1"/>
  <c r="L221" i="1"/>
  <c r="L220" i="1"/>
  <c r="L219" i="1"/>
  <c r="L218" i="1"/>
  <c r="M221" i="1"/>
  <c r="M220" i="1"/>
  <c r="M219" i="1"/>
  <c r="M218" i="1"/>
  <c r="L217" i="1"/>
  <c r="M217" i="1"/>
  <c r="L216" i="1"/>
  <c r="M216" i="1"/>
  <c r="L215" i="1"/>
  <c r="M215" i="1"/>
  <c r="L214" i="1"/>
  <c r="L213" i="1"/>
  <c r="M214" i="1"/>
  <c r="M213" i="1"/>
  <c r="L212" i="1"/>
  <c r="L211" i="1"/>
  <c r="M212" i="1"/>
  <c r="M211" i="1"/>
  <c r="L210" i="1"/>
  <c r="L209" i="1"/>
  <c r="L208" i="1"/>
  <c r="M210" i="1"/>
  <c r="M209" i="1"/>
  <c r="M208" i="1"/>
  <c r="L207" i="1"/>
  <c r="L206" i="1"/>
  <c r="M207" i="1"/>
  <c r="M206" i="1"/>
  <c r="L205" i="1"/>
  <c r="L204" i="1"/>
  <c r="L203" i="1"/>
  <c r="L202" i="1"/>
  <c r="M205" i="1"/>
  <c r="M204" i="1"/>
  <c r="M203" i="1"/>
  <c r="M202" i="1"/>
  <c r="L201" i="1"/>
  <c r="L200" i="1"/>
  <c r="M201" i="1"/>
  <c r="M200" i="1"/>
  <c r="M199" i="1"/>
  <c r="L199" i="1"/>
  <c r="L198" i="1"/>
  <c r="M198" i="1"/>
  <c r="L197" i="1"/>
  <c r="L196" i="1"/>
  <c r="M197" i="1"/>
  <c r="M196" i="1"/>
  <c r="L195" i="1"/>
  <c r="L194" i="1"/>
  <c r="M195" i="1"/>
  <c r="M194" i="1"/>
  <c r="L193" i="1"/>
  <c r="L192" i="1"/>
  <c r="M193" i="1"/>
  <c r="M192" i="1"/>
  <c r="L191" i="1"/>
  <c r="L190" i="1"/>
  <c r="M191" i="1"/>
  <c r="M190" i="1"/>
  <c r="L189" i="1"/>
  <c r="L188" i="1"/>
  <c r="M189" i="1"/>
  <c r="M188" i="1"/>
  <c r="L186" i="1"/>
  <c r="L187" i="1"/>
  <c r="M187" i="1"/>
  <c r="M186" i="1"/>
  <c r="L185" i="1"/>
  <c r="L184" i="1"/>
  <c r="M185" i="1"/>
  <c r="M184" i="1"/>
  <c r="L183" i="1"/>
  <c r="L182" i="1"/>
  <c r="L181" i="1"/>
  <c r="M183" i="1"/>
  <c r="M182" i="1"/>
  <c r="M181" i="1"/>
  <c r="L180" i="1"/>
  <c r="M180" i="1"/>
  <c r="L179" i="1"/>
  <c r="L178" i="1"/>
  <c r="M179" i="1"/>
  <c r="M178" i="1"/>
  <c r="M177" i="1"/>
  <c r="L176" i="1"/>
  <c r="L175" i="1"/>
  <c r="M176" i="1"/>
  <c r="M175" i="1"/>
  <c r="L174" i="1"/>
  <c r="L173" i="1"/>
  <c r="M174" i="1"/>
  <c r="M173" i="1"/>
  <c r="L172" i="1"/>
  <c r="L171" i="1"/>
  <c r="L170" i="1"/>
  <c r="L169" i="1"/>
  <c r="M172" i="1"/>
  <c r="M171" i="1"/>
  <c r="M170" i="1"/>
  <c r="M169" i="1"/>
  <c r="M168" i="1"/>
  <c r="L168" i="1"/>
  <c r="L167" i="1"/>
  <c r="M167" i="1"/>
  <c r="L166" i="1"/>
  <c r="L165" i="1"/>
  <c r="M166" i="1"/>
  <c r="M165" i="1"/>
  <c r="L164" i="1"/>
  <c r="L163" i="1"/>
  <c r="M164" i="1"/>
  <c r="M163" i="1"/>
  <c r="M160" i="1"/>
  <c r="M161" i="1"/>
  <c r="M162" i="1"/>
  <c r="M159" i="1"/>
  <c r="L162" i="1"/>
  <c r="L161" i="1"/>
  <c r="L160" i="1"/>
  <c r="M157" i="1"/>
  <c r="M158" i="1"/>
  <c r="L159" i="1"/>
  <c r="L158" i="1"/>
  <c r="L157" i="1"/>
  <c r="L156" i="1"/>
  <c r="L155" i="1"/>
  <c r="L154" i="1"/>
  <c r="M156" i="1"/>
  <c r="M155" i="1"/>
  <c r="L150" i="1"/>
  <c r="L151" i="1"/>
  <c r="L152" i="1"/>
  <c r="L153" i="1"/>
  <c r="M154" i="1"/>
  <c r="M153" i="1"/>
  <c r="M152" i="1"/>
  <c r="M151" i="1"/>
  <c r="M150" i="1"/>
  <c r="M147" i="1"/>
  <c r="M148" i="1"/>
  <c r="M149" i="1"/>
  <c r="L149" i="1"/>
  <c r="L148" i="1"/>
  <c r="L147" i="1"/>
  <c r="L146" i="1"/>
  <c r="M146" i="1"/>
  <c r="L145" i="1"/>
  <c r="L144" i="1"/>
  <c r="M145" i="1"/>
  <c r="M144" i="1"/>
  <c r="M142" i="1"/>
  <c r="M143" i="1"/>
  <c r="L141" i="1"/>
  <c r="L142" i="1"/>
  <c r="L143" i="1"/>
  <c r="M141" i="1"/>
  <c r="L140" i="1"/>
  <c r="L139" i="1"/>
  <c r="M140" i="1"/>
  <c r="M139" i="1"/>
  <c r="L138" i="1"/>
  <c r="L137" i="1"/>
  <c r="L136" i="1"/>
  <c r="M138" i="1"/>
  <c r="M137" i="1"/>
  <c r="M136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L135" i="1"/>
  <c r="L134" i="1"/>
  <c r="M135" i="1"/>
  <c r="M134" i="1"/>
  <c r="L133" i="1"/>
  <c r="L132" i="1"/>
  <c r="L131" i="1"/>
  <c r="M133" i="1"/>
  <c r="M132" i="1"/>
  <c r="M131" i="1"/>
  <c r="L130" i="1"/>
  <c r="L129" i="1"/>
  <c r="L128" i="1"/>
  <c r="M130" i="1"/>
  <c r="M129" i="1"/>
  <c r="M128" i="1"/>
  <c r="L127" i="1"/>
  <c r="M127" i="1"/>
  <c r="L126" i="1"/>
  <c r="M126" i="1"/>
  <c r="L125" i="1"/>
  <c r="L124" i="1"/>
  <c r="M125" i="1"/>
  <c r="M124" i="1"/>
  <c r="L123" i="1"/>
  <c r="L122" i="1"/>
  <c r="L121" i="1"/>
  <c r="M123" i="1"/>
  <c r="M122" i="1"/>
  <c r="M121" i="1"/>
  <c r="L120" i="1"/>
  <c r="L119" i="1"/>
  <c r="M120" i="1"/>
  <c r="M119" i="1"/>
  <c r="L118" i="1"/>
  <c r="L117" i="1"/>
  <c r="M118" i="1"/>
  <c r="M117" i="1"/>
  <c r="L114" i="1"/>
  <c r="L115" i="1"/>
  <c r="L116" i="1"/>
  <c r="M116" i="1"/>
  <c r="M115" i="1"/>
  <c r="L113" i="1"/>
  <c r="M114" i="1"/>
  <c r="M113" i="1"/>
  <c r="L112" i="1"/>
  <c r="L111" i="1"/>
  <c r="M112" i="1"/>
  <c r="M111" i="1"/>
  <c r="L67" i="1"/>
  <c r="M67" i="1"/>
  <c r="L66" i="1"/>
  <c r="L65" i="1"/>
  <c r="L64" i="1"/>
  <c r="M66" i="1"/>
  <c r="M65" i="1"/>
  <c r="M64" i="1"/>
  <c r="L63" i="1"/>
  <c r="M63" i="1"/>
  <c r="L62" i="1"/>
  <c r="L61" i="1"/>
  <c r="L60" i="1"/>
  <c r="M62" i="1"/>
  <c r="M61" i="1"/>
  <c r="M60" i="1"/>
  <c r="L59" i="1"/>
  <c r="L58" i="1"/>
  <c r="M59" i="1"/>
  <c r="M58" i="1"/>
  <c r="L57" i="1"/>
  <c r="L56" i="1"/>
  <c r="M57" i="1"/>
  <c r="M56" i="1"/>
  <c r="L54" i="1"/>
  <c r="L55" i="1"/>
  <c r="M55" i="1"/>
  <c r="M54" i="1"/>
  <c r="L53" i="1"/>
  <c r="M53" i="1"/>
  <c r="L52" i="1"/>
  <c r="M52" i="1"/>
  <c r="L51" i="1"/>
  <c r="M51" i="1"/>
  <c r="L50" i="1"/>
  <c r="M50" i="1"/>
  <c r="L49" i="1"/>
  <c r="M49" i="1"/>
  <c r="L47" i="1"/>
  <c r="L48" i="1"/>
  <c r="M48" i="1"/>
  <c r="M47" i="1"/>
  <c r="L46" i="1"/>
  <c r="L45" i="1"/>
  <c r="M46" i="1"/>
  <c r="M45" i="1"/>
  <c r="L44" i="1"/>
  <c r="L43" i="1"/>
  <c r="M44" i="1"/>
  <c r="M43" i="1"/>
  <c r="L42" i="1"/>
  <c r="M42" i="1"/>
  <c r="L41" i="1"/>
  <c r="M41" i="1"/>
  <c r="L40" i="1"/>
  <c r="M40" i="1"/>
  <c r="L39" i="1"/>
  <c r="M39" i="1"/>
  <c r="L38" i="1"/>
  <c r="M38" i="1"/>
  <c r="L37" i="1"/>
  <c r="M37" i="1"/>
  <c r="L36" i="1"/>
  <c r="M36" i="1"/>
  <c r="L35" i="1"/>
  <c r="M35" i="1"/>
  <c r="L34" i="1"/>
  <c r="M34" i="1"/>
  <c r="L33" i="1"/>
  <c r="M33" i="1"/>
  <c r="L32" i="1"/>
  <c r="M32" i="1"/>
  <c r="L31" i="1"/>
  <c r="M31" i="1"/>
  <c r="L30" i="1"/>
  <c r="M30" i="1"/>
  <c r="L29" i="1"/>
  <c r="L28" i="1"/>
  <c r="M29" i="1"/>
  <c r="M28" i="1"/>
  <c r="L27" i="1"/>
  <c r="M27" i="1"/>
  <c r="L26" i="1"/>
  <c r="M26" i="1"/>
  <c r="M25" i="1"/>
  <c r="L25" i="1"/>
  <c r="M24" i="1"/>
  <c r="L24" i="1"/>
  <c r="M23" i="1"/>
  <c r="L23" i="1"/>
  <c r="L22" i="1"/>
  <c r="M22" i="1"/>
  <c r="L21" i="1"/>
  <c r="M21" i="1"/>
  <c r="M19" i="1"/>
  <c r="M20" i="1"/>
  <c r="L20" i="1"/>
  <c r="L19" i="1"/>
  <c r="L18" i="1"/>
  <c r="M18" i="1"/>
  <c r="L17" i="1"/>
  <c r="M17" i="1"/>
  <c r="L16" i="1"/>
  <c r="M16" i="1"/>
  <c r="L15" i="1"/>
  <c r="M15" i="1"/>
  <c r="L14" i="1"/>
  <c r="M14" i="1"/>
  <c r="L13" i="1"/>
  <c r="M13" i="1"/>
  <c r="L12" i="1"/>
  <c r="M1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</calcChain>
</file>

<file path=xl/sharedStrings.xml><?xml version="1.0" encoding="utf-8"?>
<sst xmlns="http://schemas.openxmlformats.org/spreadsheetml/2006/main" count="1587" uniqueCount="176">
  <si>
    <t>Date</t>
  </si>
  <si>
    <t>Machine ID</t>
  </si>
  <si>
    <t>Net Good Parts</t>
  </si>
  <si>
    <t xml:space="preserve"> </t>
  </si>
  <si>
    <t>3rd jan 2026</t>
  </si>
  <si>
    <t>4th jan 2026</t>
  </si>
  <si>
    <t>MP-01</t>
  </si>
  <si>
    <t>S21077-008A0X</t>
  </si>
  <si>
    <t xml:space="preserve">Shift </t>
  </si>
  <si>
    <t>Required Qty</t>
  </si>
  <si>
    <t>Actual Produced</t>
  </si>
  <si>
    <t>Setup Rejections</t>
  </si>
  <si>
    <t>Production Gap</t>
  </si>
  <si>
    <t>A</t>
  </si>
  <si>
    <t>14SW220201-00005X0</t>
  </si>
  <si>
    <t>STD. Cycle Time</t>
  </si>
  <si>
    <t>Part Per Hour</t>
  </si>
  <si>
    <t>72/02</t>
  </si>
  <si>
    <t>S31741-005A0X</t>
  </si>
  <si>
    <t>36/02</t>
  </si>
  <si>
    <t>40/01</t>
  </si>
  <si>
    <t>B</t>
  </si>
  <si>
    <t>MP-03</t>
  </si>
  <si>
    <t>MP-04</t>
  </si>
  <si>
    <t>MP-05</t>
  </si>
  <si>
    <t>M41035-032A0X</t>
  </si>
  <si>
    <t>50/04</t>
  </si>
  <si>
    <t>14SW311011-00003X0</t>
  </si>
  <si>
    <t>Actual Standard Cycle Time</t>
  </si>
  <si>
    <t>40/02</t>
  </si>
  <si>
    <t>S12100-003A0X</t>
  </si>
  <si>
    <t>Part No.</t>
  </si>
  <si>
    <t>48/02</t>
  </si>
  <si>
    <t>14SW311082-00006X0</t>
  </si>
  <si>
    <t>MP-07</t>
  </si>
  <si>
    <t>60/04</t>
  </si>
  <si>
    <t>33/01</t>
  </si>
  <si>
    <t>MP-08</t>
  </si>
  <si>
    <t>MP-09</t>
  </si>
  <si>
    <t>S13112-006A0X</t>
  </si>
  <si>
    <t>38/02</t>
  </si>
  <si>
    <t>14SW311155-00003X0</t>
  </si>
  <si>
    <t>60/02</t>
  </si>
  <si>
    <t>MP-10</t>
  </si>
  <si>
    <t>14SW311083-00005X0</t>
  </si>
  <si>
    <t>80/02</t>
  </si>
  <si>
    <t>40/04</t>
  </si>
  <si>
    <t>14SW210274-00016X0</t>
  </si>
  <si>
    <t>MP-11</t>
  </si>
  <si>
    <t>MP-12</t>
  </si>
  <si>
    <t>S03046-005A0X</t>
  </si>
  <si>
    <t>35/02</t>
  </si>
  <si>
    <t>M41224-022A0X</t>
  </si>
  <si>
    <t>14SW311038-00005X0</t>
  </si>
  <si>
    <t>90/02</t>
  </si>
  <si>
    <t>MP-13</t>
  </si>
  <si>
    <t>S13120-001A0X</t>
  </si>
  <si>
    <t>120/02</t>
  </si>
  <si>
    <t>S13083-003A0X</t>
  </si>
  <si>
    <t>36/01</t>
  </si>
  <si>
    <t>S12095-004A0X</t>
  </si>
  <si>
    <t>45/01</t>
  </si>
  <si>
    <t>S12104-006A0X</t>
  </si>
  <si>
    <t>45/02</t>
  </si>
  <si>
    <t>S32197-006A0X</t>
  </si>
  <si>
    <t>MP-14</t>
  </si>
  <si>
    <t>MP-15</t>
  </si>
  <si>
    <t>MP-16</t>
  </si>
  <si>
    <t>S31838-004A0X</t>
  </si>
  <si>
    <t>S12095-011A0X</t>
  </si>
  <si>
    <t>S31437-004A0X</t>
  </si>
  <si>
    <t>S02013-008A0X</t>
  </si>
  <si>
    <t>S12095-003A0X</t>
  </si>
  <si>
    <t>S13108-002A0X</t>
  </si>
  <si>
    <t>S31121-012A0X</t>
  </si>
  <si>
    <t>YUH-1</t>
  </si>
  <si>
    <t>S03058-002A0X</t>
  </si>
  <si>
    <t>31/02</t>
  </si>
  <si>
    <t>YUH-2</t>
  </si>
  <si>
    <t>14SW311156-00002X0</t>
  </si>
  <si>
    <t>JSW-40T-1</t>
  </si>
  <si>
    <t>S22127-003A0X</t>
  </si>
  <si>
    <t>TOYO-40T-1</t>
  </si>
  <si>
    <t>14SW210274-00008X0</t>
  </si>
  <si>
    <t>TOYO-40T-2</t>
  </si>
  <si>
    <t>S25038-001A0X</t>
  </si>
  <si>
    <t>50/2</t>
  </si>
  <si>
    <t>TOYO-40T-3</t>
  </si>
  <si>
    <t>S21174-012A0X</t>
  </si>
  <si>
    <t>TOYO-40T-4</t>
  </si>
  <si>
    <t>TOYO-40T-5</t>
  </si>
  <si>
    <t>TOYO-40T-6</t>
  </si>
  <si>
    <t>14SW210274-00013X0</t>
  </si>
  <si>
    <t>14SW220201-00010X0</t>
  </si>
  <si>
    <t>TOYO-40T-7</t>
  </si>
  <si>
    <t>220207-3</t>
  </si>
  <si>
    <t>72/04</t>
  </si>
  <si>
    <t>14SW250068-00003X0</t>
  </si>
  <si>
    <t>102/02</t>
  </si>
  <si>
    <t>50/02</t>
  </si>
  <si>
    <t>311016-3</t>
  </si>
  <si>
    <t>55/02</t>
  </si>
  <si>
    <t>TOYO-80T-2</t>
  </si>
  <si>
    <t>14SW330127-00008X0</t>
  </si>
  <si>
    <t>S33105-016A0X</t>
  </si>
  <si>
    <t>50/01</t>
  </si>
  <si>
    <t>SWIFT-60T</t>
  </si>
  <si>
    <t>52/02</t>
  </si>
  <si>
    <t>34/02</t>
  </si>
  <si>
    <t>68/02</t>
  </si>
  <si>
    <t>250068-3</t>
  </si>
  <si>
    <t>250068-2</t>
  </si>
  <si>
    <t>S21021-012A0X</t>
  </si>
  <si>
    <t>S21142-01</t>
  </si>
  <si>
    <t>S31841-008A0X</t>
  </si>
  <si>
    <t>36/04</t>
  </si>
  <si>
    <t>S33105-017A0X</t>
  </si>
  <si>
    <t>48/04</t>
  </si>
  <si>
    <t>14SW311082-00008X0</t>
  </si>
  <si>
    <t>S31777-003A0X</t>
  </si>
  <si>
    <t>51/02</t>
  </si>
  <si>
    <t>310966-02</t>
  </si>
  <si>
    <t>14SW220197-00010X0</t>
  </si>
  <si>
    <t>S13123-002A0X</t>
  </si>
  <si>
    <t>12th jan 2026</t>
  </si>
  <si>
    <t>13th jan 2026</t>
  </si>
  <si>
    <t>S41356-021A0X</t>
  </si>
  <si>
    <t>80/01</t>
  </si>
  <si>
    <t>S11026-054A0X</t>
  </si>
  <si>
    <t>14SW311121-00002X0</t>
  </si>
  <si>
    <t>14SW311121-01002X0</t>
  </si>
  <si>
    <t>14SW311084-00002X0</t>
  </si>
  <si>
    <t>S12042-004A9X</t>
  </si>
  <si>
    <t>30/02</t>
  </si>
  <si>
    <t>S13116-011A0X</t>
  </si>
  <si>
    <t>128/01</t>
  </si>
  <si>
    <t>128/02</t>
  </si>
  <si>
    <t>S21121-021A0X</t>
  </si>
  <si>
    <t>S13083-011A0X</t>
  </si>
  <si>
    <t>MP-17</t>
  </si>
  <si>
    <t>14SW220197-00005X0</t>
  </si>
  <si>
    <t>S21028-002A0X</t>
  </si>
  <si>
    <t>YUD-2</t>
  </si>
  <si>
    <t>S21021-016A0X</t>
  </si>
  <si>
    <t>S21042-001A0X</t>
  </si>
  <si>
    <t>YUD-1</t>
  </si>
  <si>
    <t>025/02</t>
  </si>
  <si>
    <t>023/02</t>
  </si>
  <si>
    <t>14SW220207-00003X0</t>
  </si>
  <si>
    <t>70/02</t>
  </si>
  <si>
    <t>020/01</t>
  </si>
  <si>
    <t>020/02</t>
  </si>
  <si>
    <t>021/02</t>
  </si>
  <si>
    <t>031/01</t>
  </si>
  <si>
    <t>S41354-011A0X</t>
  </si>
  <si>
    <t>14SW410464-00009X0</t>
  </si>
  <si>
    <t>S12087-004A0X</t>
  </si>
  <si>
    <t>38/01</t>
  </si>
  <si>
    <t>14SW311101-00003X0</t>
  </si>
  <si>
    <t>65/01</t>
  </si>
  <si>
    <t>55/01</t>
  </si>
  <si>
    <t>S13052-005AOX</t>
  </si>
  <si>
    <t>S03066-008A0X</t>
  </si>
  <si>
    <t>S03077-001A0X</t>
  </si>
  <si>
    <t>S31867-002A0X</t>
  </si>
  <si>
    <t>14SW030082-00001X0</t>
  </si>
  <si>
    <t>156/02</t>
  </si>
  <si>
    <t>180/02</t>
  </si>
  <si>
    <t>024/02</t>
  </si>
  <si>
    <t>14SW311082-00010X2</t>
  </si>
  <si>
    <t>S03066-001A0X</t>
  </si>
  <si>
    <t>025/01</t>
  </si>
  <si>
    <t>720/02</t>
  </si>
  <si>
    <t>025/2</t>
  </si>
  <si>
    <t>Actual Rejections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</si>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</sst>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0" fillId="2" borderId="0" xfId="0" applyFill="1"/>
    <xf numFmtId="16" fontId="0" fillId="0" borderId="0" xfId="0" applyNumberForma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6" fontId="0" fillId="2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aster%20Data%20_290102026%202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 "/>
      <sheetName val="Sheet1"/>
      <sheetName val="Sheet2"/>
      <sheetName val="Sheet7"/>
      <sheetName val="Monthly Requirement"/>
      <sheetName val="Inventory "/>
      <sheetName val="Part Production Inventory"/>
      <sheetName val="Gate Entry"/>
      <sheetName val="Daily Production Schedule"/>
      <sheetName val="Part Production Master "/>
    </sheetNames>
    <sheetDataSet>
      <sheetData sheetId="0"/>
      <sheetData sheetId="1">
        <row r="1">
          <cell r="A1" t="str">
            <v>PARTNO</v>
          </cell>
          <cell r="B1" t="str">
            <v>Category</v>
          </cell>
        </row>
        <row r="2">
          <cell r="A2" t="str">
            <v>S21174-012A0X</v>
          </cell>
          <cell r="B2" t="str">
            <v>Runner</v>
          </cell>
        </row>
        <row r="3">
          <cell r="A3" t="str">
            <v>S22127-003A0X</v>
          </cell>
          <cell r="B3" t="str">
            <v>Runner</v>
          </cell>
        </row>
        <row r="4">
          <cell r="A4" t="str">
            <v>S13108-002A0X</v>
          </cell>
          <cell r="B4" t="str">
            <v>Runner</v>
          </cell>
        </row>
        <row r="5">
          <cell r="A5" t="str">
            <v>S32197-006A0X</v>
          </cell>
          <cell r="B5" t="str">
            <v>Runner</v>
          </cell>
        </row>
        <row r="6">
          <cell r="A6" t="str">
            <v>S03058-002A0X</v>
          </cell>
          <cell r="B6" t="str">
            <v>Runner</v>
          </cell>
        </row>
        <row r="7">
          <cell r="A7" t="str">
            <v>S25038-001A0X</v>
          </cell>
          <cell r="B7" t="str">
            <v>Runner</v>
          </cell>
        </row>
        <row r="8">
          <cell r="A8" t="str">
            <v>S12100-003A0X</v>
          </cell>
          <cell r="B8" t="str">
            <v>Runner</v>
          </cell>
        </row>
        <row r="9">
          <cell r="A9" t="str">
            <v>S31121-012A0X</v>
          </cell>
          <cell r="B9" t="str">
            <v>Runner</v>
          </cell>
        </row>
        <row r="10">
          <cell r="A10" t="str">
            <v>S12104-006A0X</v>
          </cell>
          <cell r="B10" t="str">
            <v>Runner</v>
          </cell>
        </row>
        <row r="11">
          <cell r="A11" t="str">
            <v>S31437-004A0X</v>
          </cell>
          <cell r="B11" t="str">
            <v>Runner</v>
          </cell>
        </row>
        <row r="12">
          <cell r="A12" t="str">
            <v>S01100-004A9X</v>
          </cell>
          <cell r="B12" t="str">
            <v>Runner</v>
          </cell>
        </row>
        <row r="13">
          <cell r="A13" t="str">
            <v>14SW220201-00010X0</v>
          </cell>
          <cell r="B13" t="str">
            <v>Runner</v>
          </cell>
        </row>
        <row r="14">
          <cell r="A14" t="str">
            <v>14SW210274-00013X0</v>
          </cell>
          <cell r="B14" t="str">
            <v>Runner</v>
          </cell>
        </row>
        <row r="15">
          <cell r="A15" t="str">
            <v>14SW210274-00016X0</v>
          </cell>
          <cell r="B15" t="str">
            <v>Runner</v>
          </cell>
        </row>
        <row r="16">
          <cell r="A16" t="str">
            <v>14SW210274-00008X0</v>
          </cell>
          <cell r="B16" t="str">
            <v>Runner</v>
          </cell>
        </row>
        <row r="17">
          <cell r="A17" t="str">
            <v>S31741-005A0X</v>
          </cell>
          <cell r="B17" t="str">
            <v>Runner</v>
          </cell>
        </row>
        <row r="18">
          <cell r="A18" t="str">
            <v>S13112-006A0X</v>
          </cell>
          <cell r="B18" t="str">
            <v>Runner</v>
          </cell>
        </row>
        <row r="19">
          <cell r="A19" t="str">
            <v>S13083-003A0X</v>
          </cell>
          <cell r="B19" t="str">
            <v>Runner</v>
          </cell>
        </row>
        <row r="20">
          <cell r="A20" t="str">
            <v>M41224-022A0X</v>
          </cell>
          <cell r="B20" t="str">
            <v>Runner</v>
          </cell>
        </row>
        <row r="21">
          <cell r="A21" t="str">
            <v>S21174-014A0X</v>
          </cell>
          <cell r="B21" t="str">
            <v>Runner</v>
          </cell>
        </row>
        <row r="22">
          <cell r="A22" t="str">
            <v>S03062-001A0X</v>
          </cell>
          <cell r="B22" t="str">
            <v>Stranger</v>
          </cell>
        </row>
        <row r="23">
          <cell r="A23" t="str">
            <v>S33105-017A0X</v>
          </cell>
          <cell r="B23" t="str">
            <v>Runner</v>
          </cell>
        </row>
        <row r="24">
          <cell r="A24" t="str">
            <v>14SW410464-00009X0</v>
          </cell>
          <cell r="B24" t="str">
            <v>Runner</v>
          </cell>
        </row>
        <row r="25">
          <cell r="A25" t="str">
            <v>S13110-005A0X</v>
          </cell>
          <cell r="B25" t="str">
            <v>Runner</v>
          </cell>
        </row>
        <row r="26">
          <cell r="A26" t="str">
            <v>S11398-016A0X</v>
          </cell>
          <cell r="B26" t="str">
            <v>Repeater</v>
          </cell>
        </row>
        <row r="27">
          <cell r="A27" t="str">
            <v>S03046-005A0X</v>
          </cell>
          <cell r="B27" t="str">
            <v>Repeater</v>
          </cell>
        </row>
        <row r="28">
          <cell r="A28" t="str">
            <v>S21121-021A0X</v>
          </cell>
          <cell r="B28" t="str">
            <v>Runner</v>
          </cell>
        </row>
        <row r="29">
          <cell r="A29" t="str">
            <v>14SW030081-00001X0</v>
          </cell>
          <cell r="B29" t="str">
            <v>Repeater</v>
          </cell>
        </row>
        <row r="30">
          <cell r="A30" t="str">
            <v>14SW220197-00010X0</v>
          </cell>
          <cell r="B30" t="str">
            <v>Repeater</v>
          </cell>
        </row>
        <row r="31">
          <cell r="A31" t="str">
            <v>14SW220197-00005X0</v>
          </cell>
          <cell r="B31" t="str">
            <v>Repeater</v>
          </cell>
        </row>
        <row r="32">
          <cell r="A32" t="str">
            <v>S31867-002A0X</v>
          </cell>
          <cell r="B32" t="str">
            <v>Repeater</v>
          </cell>
        </row>
        <row r="33">
          <cell r="A33" t="str">
            <v>S12095-004A0X</v>
          </cell>
          <cell r="B33" t="str">
            <v>Repeater</v>
          </cell>
        </row>
        <row r="34">
          <cell r="A34" t="str">
            <v>S41354-011A0X</v>
          </cell>
          <cell r="B34" t="str">
            <v>Repeater</v>
          </cell>
        </row>
        <row r="35">
          <cell r="A35" t="str">
            <v>S31777-003A0X</v>
          </cell>
          <cell r="B35" t="str">
            <v>Repeater</v>
          </cell>
        </row>
        <row r="36">
          <cell r="A36" t="str">
            <v>S21021-012A0X</v>
          </cell>
          <cell r="B36" t="str">
            <v>Repeater</v>
          </cell>
        </row>
        <row r="37">
          <cell r="A37" t="str">
            <v>S12095-003A0X</v>
          </cell>
          <cell r="B37" t="str">
            <v>Runner</v>
          </cell>
        </row>
        <row r="38">
          <cell r="A38" t="str">
            <v>S21021-016A0X</v>
          </cell>
          <cell r="B38" t="str">
            <v>Repeater</v>
          </cell>
        </row>
        <row r="39">
          <cell r="A39" t="str">
            <v>S12095-011A0X</v>
          </cell>
          <cell r="B39" t="str">
            <v>Runner</v>
          </cell>
        </row>
        <row r="40">
          <cell r="A40" t="str">
            <v>S12042-004A9X</v>
          </cell>
          <cell r="B40" t="str">
            <v>Repeater</v>
          </cell>
        </row>
        <row r="41">
          <cell r="A41" t="str">
            <v>S21175-002A0X</v>
          </cell>
          <cell r="B41" t="str">
            <v>Repeater</v>
          </cell>
        </row>
        <row r="42">
          <cell r="A42" t="str">
            <v>S13083-011A0X</v>
          </cell>
          <cell r="B42" t="str">
            <v>Repeater</v>
          </cell>
        </row>
        <row r="43">
          <cell r="A43" t="str">
            <v>S12052-003A0X</v>
          </cell>
          <cell r="B43" t="str">
            <v>Repeater</v>
          </cell>
        </row>
        <row r="44">
          <cell r="A44" t="str">
            <v>S12089-004A0X</v>
          </cell>
          <cell r="B44" t="str">
            <v>Repeater</v>
          </cell>
        </row>
        <row r="45">
          <cell r="A45" t="str">
            <v>14SW311082-00006X0</v>
          </cell>
          <cell r="B45" t="str">
            <v>Runner</v>
          </cell>
        </row>
        <row r="46">
          <cell r="A46" t="str">
            <v>S21077-008A0X</v>
          </cell>
          <cell r="B46" t="str">
            <v>Repeater</v>
          </cell>
        </row>
        <row r="47">
          <cell r="A47" t="str">
            <v>S12052-012A0X</v>
          </cell>
          <cell r="B47" t="str">
            <v>Repeater</v>
          </cell>
        </row>
        <row r="48">
          <cell r="A48" t="str">
            <v>S12087-004A0X</v>
          </cell>
          <cell r="B48" t="str">
            <v>Repeater</v>
          </cell>
        </row>
        <row r="49">
          <cell r="A49" t="str">
            <v>14SW220201-00005X0</v>
          </cell>
          <cell r="B49" t="str">
            <v>Repeater</v>
          </cell>
        </row>
        <row r="50">
          <cell r="A50" t="str">
            <v>S13123-002A0X</v>
          </cell>
          <cell r="B50" t="str">
            <v>Repeater</v>
          </cell>
        </row>
        <row r="51">
          <cell r="A51" t="str">
            <v>14SW311101-00003X0</v>
          </cell>
          <cell r="B51" t="str">
            <v>Repeater</v>
          </cell>
        </row>
        <row r="52">
          <cell r="A52" t="str">
            <v>S13116-011A0X</v>
          </cell>
          <cell r="B52" t="str">
            <v>Repeater</v>
          </cell>
        </row>
        <row r="53">
          <cell r="A53" t="str">
            <v>S32073-012A0X</v>
          </cell>
          <cell r="B53" t="str">
            <v>Stranger</v>
          </cell>
        </row>
        <row r="54">
          <cell r="A54" t="str">
            <v>S11436-002A0X</v>
          </cell>
          <cell r="B54" t="str">
            <v>Stranger</v>
          </cell>
        </row>
        <row r="55">
          <cell r="A55" t="str">
            <v>S11398-017A0X</v>
          </cell>
          <cell r="B55" t="str">
            <v>Repeater</v>
          </cell>
        </row>
        <row r="56">
          <cell r="A56" t="str">
            <v>14SW311038-00005X0</v>
          </cell>
          <cell r="B56" t="str">
            <v>Repeater</v>
          </cell>
        </row>
        <row r="57">
          <cell r="A57" t="str">
            <v>S11434-002A0X</v>
          </cell>
          <cell r="B57" t="str">
            <v>Repeater</v>
          </cell>
        </row>
        <row r="58">
          <cell r="A58" t="str">
            <v>14SW330127-00008X0</v>
          </cell>
          <cell r="B58" t="str">
            <v>Repeater</v>
          </cell>
        </row>
        <row r="59">
          <cell r="A59" t="str">
            <v>S31841-008A0X</v>
          </cell>
          <cell r="B59" t="str">
            <v>Repeater</v>
          </cell>
        </row>
        <row r="60">
          <cell r="A60" t="str">
            <v>S32168-007A0X</v>
          </cell>
          <cell r="B60" t="str">
            <v>Repeater</v>
          </cell>
        </row>
        <row r="61">
          <cell r="A61" t="str">
            <v>S12102-001A0X</v>
          </cell>
          <cell r="B61" t="str">
            <v>Repeater</v>
          </cell>
        </row>
        <row r="62">
          <cell r="A62" t="str">
            <v>S11398-030A0X</v>
          </cell>
          <cell r="B62" t="str">
            <v>Repeater</v>
          </cell>
        </row>
        <row r="63">
          <cell r="A63" t="str">
            <v>S11026-011A0X</v>
          </cell>
          <cell r="B63" t="str">
            <v>Stranger</v>
          </cell>
        </row>
        <row r="64">
          <cell r="A64" t="str">
            <v>S11026-026A0X</v>
          </cell>
          <cell r="B64" t="str">
            <v>Stranger</v>
          </cell>
        </row>
        <row r="65">
          <cell r="A65" t="str">
            <v>S02020-010A0X</v>
          </cell>
          <cell r="B65" t="str">
            <v>Stranger</v>
          </cell>
        </row>
        <row r="66">
          <cell r="A66" t="str">
            <v>S11026-054A0X</v>
          </cell>
          <cell r="B66" t="str">
            <v>Stranger</v>
          </cell>
        </row>
        <row r="67">
          <cell r="A67" t="str">
            <v>S07023-002A0X</v>
          </cell>
          <cell r="B67" t="str">
            <v>Repeater</v>
          </cell>
        </row>
        <row r="68">
          <cell r="A68" t="str">
            <v>14SW030082-00001X0</v>
          </cell>
          <cell r="B68" t="str">
            <v>Stranger</v>
          </cell>
        </row>
        <row r="69">
          <cell r="A69" t="str">
            <v>S21151-016A0X</v>
          </cell>
          <cell r="B69" t="str">
            <v>Stranger</v>
          </cell>
        </row>
        <row r="70">
          <cell r="A70" t="str">
            <v>S12052-001A0X</v>
          </cell>
          <cell r="B70" t="str">
            <v>Repeater</v>
          </cell>
        </row>
        <row r="71">
          <cell r="A71" t="str">
            <v>S41356-021A0X</v>
          </cell>
          <cell r="B71" t="str">
            <v>Stranger</v>
          </cell>
        </row>
        <row r="72">
          <cell r="A72" t="str">
            <v>S41356-017A0X</v>
          </cell>
          <cell r="B72" t="str">
            <v>Stranger</v>
          </cell>
        </row>
        <row r="73">
          <cell r="A73" t="str">
            <v>S22166-013A0X</v>
          </cell>
          <cell r="B73" t="str">
            <v>Stranger</v>
          </cell>
        </row>
        <row r="74">
          <cell r="A74" t="str">
            <v>S22166-016A0X</v>
          </cell>
          <cell r="B74" t="str">
            <v>Stranger</v>
          </cell>
        </row>
        <row r="75">
          <cell r="A75" t="str">
            <v>S22085-002A0X</v>
          </cell>
          <cell r="B75" t="str">
            <v>Repeater</v>
          </cell>
        </row>
        <row r="76">
          <cell r="A76" t="str">
            <v>S31569-005A0X</v>
          </cell>
          <cell r="B76" t="str">
            <v>Stranger</v>
          </cell>
        </row>
        <row r="77">
          <cell r="A77" t="str">
            <v>S21208-003A0X</v>
          </cell>
          <cell r="B77" t="str">
            <v>Stranger</v>
          </cell>
        </row>
        <row r="78">
          <cell r="A78" t="str">
            <v>S13120-001A0X</v>
          </cell>
          <cell r="B78" t="str">
            <v>Repeater</v>
          </cell>
        </row>
        <row r="79">
          <cell r="A79" t="str">
            <v>S13080-004A0X</v>
          </cell>
          <cell r="B79" t="str">
            <v>Stranger</v>
          </cell>
        </row>
        <row r="80">
          <cell r="A80" t="str">
            <v>S03066-003A0X</v>
          </cell>
          <cell r="B80" t="str">
            <v>Stranger</v>
          </cell>
        </row>
        <row r="81">
          <cell r="A81" t="str">
            <v>S03066-001A0X</v>
          </cell>
          <cell r="B81" t="str">
            <v>Stranger</v>
          </cell>
        </row>
        <row r="82">
          <cell r="A82" t="str">
            <v>14SW110487-00002X0</v>
          </cell>
          <cell r="B82" t="str">
            <v>Stranger</v>
          </cell>
        </row>
        <row r="83">
          <cell r="A83" t="str">
            <v>14SW110487-00009X0</v>
          </cell>
          <cell r="B83" t="str">
            <v>Stranger</v>
          </cell>
        </row>
        <row r="84">
          <cell r="A84" t="str">
            <v>14SW311082-00010X0</v>
          </cell>
          <cell r="B84" t="str">
            <v>Stranger</v>
          </cell>
        </row>
        <row r="85">
          <cell r="A85" t="str">
            <v>S31740-008A0X</v>
          </cell>
          <cell r="B85" t="str">
            <v>Stranger</v>
          </cell>
        </row>
        <row r="86">
          <cell r="A86" t="str">
            <v>S12104-003A0X</v>
          </cell>
          <cell r="B86" t="str">
            <v>Stranger</v>
          </cell>
        </row>
        <row r="87">
          <cell r="A87" t="str">
            <v>S12104-005A0X</v>
          </cell>
          <cell r="B87" t="str">
            <v>Stranger</v>
          </cell>
        </row>
        <row r="88">
          <cell r="A88" t="str">
            <v>S33105-016A0X</v>
          </cell>
          <cell r="B88" t="str">
            <v>Repeater</v>
          </cell>
        </row>
        <row r="89">
          <cell r="A89" t="str">
            <v>S12089-001A0X</v>
          </cell>
          <cell r="B89" t="str">
            <v>Repeater</v>
          </cell>
        </row>
        <row r="90">
          <cell r="A90" t="str">
            <v>S31839-004A0X</v>
          </cell>
          <cell r="B90" t="str">
            <v>Stranger</v>
          </cell>
        </row>
        <row r="91">
          <cell r="A91" t="str">
            <v>S31064-006A0X</v>
          </cell>
          <cell r="B91" t="str">
            <v>Stranger</v>
          </cell>
        </row>
        <row r="92">
          <cell r="A92" t="str">
            <v>14SW311083-00005X0</v>
          </cell>
          <cell r="B92" t="str">
            <v>Stranger</v>
          </cell>
        </row>
        <row r="93">
          <cell r="A93" t="str">
            <v>14SW311084-00002X0</v>
          </cell>
          <cell r="B93" t="str">
            <v>Stranger</v>
          </cell>
        </row>
        <row r="94">
          <cell r="A94" t="str">
            <v>14SW311011-00003X0</v>
          </cell>
          <cell r="B94" t="str">
            <v>Stranger</v>
          </cell>
        </row>
        <row r="95">
          <cell r="A95" t="str">
            <v>S12091-001A0X</v>
          </cell>
          <cell r="B95" t="str">
            <v>Stranger</v>
          </cell>
        </row>
        <row r="96">
          <cell r="A96" t="str">
            <v>S11398-018A0X</v>
          </cell>
          <cell r="B96" t="str">
            <v>Stranger</v>
          </cell>
        </row>
        <row r="97">
          <cell r="A97" t="str">
            <v>S31838-004A0X</v>
          </cell>
          <cell r="B97" t="str">
            <v>Stranger</v>
          </cell>
        </row>
        <row r="98">
          <cell r="A98" t="str">
            <v>S11035-015A0X</v>
          </cell>
          <cell r="B98" t="str">
            <v>Stranger</v>
          </cell>
        </row>
        <row r="99">
          <cell r="A99" t="str">
            <v>S25026-003A0X</v>
          </cell>
          <cell r="B99" t="str">
            <v>Stranger</v>
          </cell>
        </row>
        <row r="100">
          <cell r="A100" t="str">
            <v>S25026-003A0X</v>
          </cell>
          <cell r="B100" t="str">
            <v>Stranger</v>
          </cell>
        </row>
        <row r="101">
          <cell r="A101" t="str">
            <v>S31123-005A0X</v>
          </cell>
          <cell r="B101" t="str">
            <v>Stranger</v>
          </cell>
        </row>
        <row r="102">
          <cell r="A102" t="str">
            <v>S21028-002A0X</v>
          </cell>
          <cell r="B102" t="str">
            <v>Stranger</v>
          </cell>
        </row>
        <row r="103">
          <cell r="A103" t="str">
            <v>S21042-001A0X</v>
          </cell>
          <cell r="B103" t="str">
            <v>Stranger</v>
          </cell>
        </row>
        <row r="104">
          <cell r="A104" t="str">
            <v>S21114-005A0X</v>
          </cell>
          <cell r="B104" t="str">
            <v>Stranger</v>
          </cell>
        </row>
        <row r="105">
          <cell r="A105" t="str">
            <v>S11432-007A0X</v>
          </cell>
          <cell r="B105" t="str">
            <v>Stranger</v>
          </cell>
        </row>
        <row r="106">
          <cell r="A106" t="str">
            <v>S03077-001A0X</v>
          </cell>
          <cell r="B106" t="str">
            <v>Stranger</v>
          </cell>
        </row>
        <row r="107">
          <cell r="A107" t="str">
            <v>S13052-005A0X</v>
          </cell>
          <cell r="B107" t="str">
            <v>Stranger</v>
          </cell>
        </row>
        <row r="108">
          <cell r="A108" t="str">
            <v>S03066-008A0X</v>
          </cell>
          <cell r="B108" t="str">
            <v>Stranger</v>
          </cell>
        </row>
        <row r="109">
          <cell r="A109" t="str">
            <v>S12094-003A0X</v>
          </cell>
          <cell r="B109" t="str">
            <v>Stranger</v>
          </cell>
        </row>
        <row r="110">
          <cell r="A110" t="str">
            <v>S12094-001A0X</v>
          </cell>
          <cell r="B110" t="str">
            <v>Stranger</v>
          </cell>
        </row>
        <row r="111">
          <cell r="A111" t="str">
            <v>S11035-026A0X</v>
          </cell>
          <cell r="B111" t="str">
            <v>Stranger</v>
          </cell>
        </row>
        <row r="112">
          <cell r="A112" t="str">
            <v>S21007-038A0X</v>
          </cell>
          <cell r="B112" t="str">
            <v>Stranger</v>
          </cell>
        </row>
        <row r="113">
          <cell r="A113" t="str">
            <v>S31842-004A0X</v>
          </cell>
          <cell r="B113" t="str">
            <v>Stranger</v>
          </cell>
        </row>
        <row r="114">
          <cell r="A114" t="str">
            <v>M41035-032A0X</v>
          </cell>
          <cell r="B114" t="str">
            <v>Stranger</v>
          </cell>
        </row>
        <row r="115">
          <cell r="A115" t="str">
            <v>14SW311010-00003X0</v>
          </cell>
          <cell r="B115" t="str">
            <v>Stranger</v>
          </cell>
        </row>
        <row r="116">
          <cell r="A116" t="str">
            <v>S02013-008A0X</v>
          </cell>
          <cell r="B116" t="str">
            <v>Stranger</v>
          </cell>
        </row>
        <row r="117">
          <cell r="A117" t="str">
            <v>S02013-008A0X</v>
          </cell>
          <cell r="B117" t="str">
            <v>Stranger</v>
          </cell>
        </row>
        <row r="118">
          <cell r="A118" t="str">
            <v>S12071-001A0X</v>
          </cell>
          <cell r="B118" t="str">
            <v>Stranger</v>
          </cell>
        </row>
        <row r="119">
          <cell r="A119" t="str">
            <v>14SW310966-00002X0</v>
          </cell>
          <cell r="B119" t="str">
            <v>Stranger</v>
          </cell>
        </row>
        <row r="120">
          <cell r="A120" t="str">
            <v>S13081-004A0X</v>
          </cell>
          <cell r="B120" t="str">
            <v>Stranger</v>
          </cell>
        </row>
        <row r="121">
          <cell r="A121" t="str">
            <v>S21047-001A0X</v>
          </cell>
          <cell r="B121" t="str">
            <v>Stranger</v>
          </cell>
        </row>
        <row r="122">
          <cell r="A122" t="str">
            <v>S33107-005A0X</v>
          </cell>
          <cell r="B122" t="str">
            <v>Stranger</v>
          </cell>
        </row>
        <row r="123">
          <cell r="A123" t="str">
            <v>S31868-005A0X</v>
          </cell>
          <cell r="B123" t="str">
            <v>Stranger</v>
          </cell>
        </row>
        <row r="124">
          <cell r="A124" t="str">
            <v>S33106-009A0X</v>
          </cell>
          <cell r="B124" t="str">
            <v>Stranger</v>
          </cell>
        </row>
        <row r="125">
          <cell r="A125" t="str">
            <v>S11038-029A0X</v>
          </cell>
          <cell r="B125" t="str">
            <v>Stranger</v>
          </cell>
        </row>
        <row r="126">
          <cell r="A126" t="str">
            <v>S13088-007A0X</v>
          </cell>
          <cell r="B126" t="str">
            <v>Stranger</v>
          </cell>
        </row>
        <row r="127">
          <cell r="A127" t="str">
            <v>14SW311058-00003X0</v>
          </cell>
          <cell r="B127" t="str">
            <v>Stranger</v>
          </cell>
        </row>
        <row r="128">
          <cell r="A128" t="str">
            <v>S13050-003A0X</v>
          </cell>
          <cell r="B128" t="str">
            <v>Stranger</v>
          </cell>
        </row>
        <row r="129">
          <cell r="A129" t="str">
            <v>S31135-011A0X</v>
          </cell>
          <cell r="B129" t="str">
            <v>Stranger</v>
          </cell>
        </row>
        <row r="130">
          <cell r="A130" t="str">
            <v>S03080-004A0X</v>
          </cell>
          <cell r="B130" t="str">
            <v>Stranger</v>
          </cell>
        </row>
        <row r="131">
          <cell r="A131" t="str">
            <v>S12113-001A0X</v>
          </cell>
          <cell r="B131" t="str">
            <v>Stranger</v>
          </cell>
        </row>
        <row r="132">
          <cell r="A132" t="str">
            <v>S22063-003A0X</v>
          </cell>
          <cell r="B132" t="str">
            <v>Stranger</v>
          </cell>
        </row>
        <row r="133">
          <cell r="A133" t="str">
            <v>14SW311121-00004X0</v>
          </cell>
          <cell r="B133" t="str">
            <v>Stranger</v>
          </cell>
        </row>
        <row r="134">
          <cell r="A134" t="str">
            <v>14SW311121-01002X0</v>
          </cell>
          <cell r="B134" t="str">
            <v>Stranger</v>
          </cell>
        </row>
        <row r="135">
          <cell r="A135" t="str">
            <v>S22016-008A0X</v>
          </cell>
          <cell r="B135" t="str">
            <v>Stranger</v>
          </cell>
        </row>
        <row r="136">
          <cell r="A136" t="str">
            <v>S13094-014A0X</v>
          </cell>
          <cell r="B136" t="str">
            <v>Stranger</v>
          </cell>
        </row>
        <row r="137">
          <cell r="A137" t="str">
            <v>S13114-003A0X</v>
          </cell>
          <cell r="B137" t="str">
            <v>Stranger</v>
          </cell>
        </row>
        <row r="138">
          <cell r="A138" t="str">
            <v>S11240-005A0X</v>
          </cell>
          <cell r="B138" t="str">
            <v>Stranger</v>
          </cell>
        </row>
        <row r="139">
          <cell r="A139" t="str">
            <v>S13094-009A0X</v>
          </cell>
          <cell r="B139" t="str">
            <v>Stranger</v>
          </cell>
        </row>
        <row r="140">
          <cell r="A140" t="str">
            <v>S13098-005A0X</v>
          </cell>
          <cell r="B140" t="str">
            <v>Stranger</v>
          </cell>
        </row>
        <row r="141">
          <cell r="A141" t="str">
            <v>S33045-010A0X</v>
          </cell>
          <cell r="B141" t="str">
            <v>Stranger</v>
          </cell>
        </row>
        <row r="142">
          <cell r="A142" t="str">
            <v>S12106-001A0X</v>
          </cell>
          <cell r="B142" t="str">
            <v>Stranger</v>
          </cell>
        </row>
        <row r="143">
          <cell r="A143" t="str">
            <v>S11160-006A0X</v>
          </cell>
          <cell r="B143" t="str">
            <v>Stranger</v>
          </cell>
        </row>
        <row r="144">
          <cell r="A144" t="str">
            <v>S31851-002A0X</v>
          </cell>
          <cell r="B144" t="str">
            <v>Stranger</v>
          </cell>
        </row>
        <row r="145">
          <cell r="A145" t="str">
            <v>S03044-005A0X</v>
          </cell>
          <cell r="B145" t="str">
            <v>Stranger</v>
          </cell>
        </row>
        <row r="146">
          <cell r="A146" t="str">
            <v>S13071-012A0X</v>
          </cell>
          <cell r="B146" t="str">
            <v>Stranger</v>
          </cell>
        </row>
        <row r="147">
          <cell r="A147" t="str">
            <v>S31850-003A0X</v>
          </cell>
          <cell r="B147" t="str">
            <v>Stranger</v>
          </cell>
        </row>
        <row r="148">
          <cell r="A148" t="str">
            <v>S31068-005A0X</v>
          </cell>
          <cell r="B148" t="str">
            <v>Stranger</v>
          </cell>
        </row>
        <row r="149">
          <cell r="A149" t="str">
            <v>S31605-002A0X</v>
          </cell>
          <cell r="B149" t="str">
            <v>Stranger</v>
          </cell>
        </row>
        <row r="150">
          <cell r="A150" t="str">
            <v>S33045-009A0X</v>
          </cell>
          <cell r="B150" t="str">
            <v>Stranger</v>
          </cell>
        </row>
        <row r="151">
          <cell r="A151" t="str">
            <v>S11326-026A0X</v>
          </cell>
          <cell r="B151" t="str">
            <v>Stranger</v>
          </cell>
        </row>
        <row r="152">
          <cell r="A152" t="str">
            <v>S11332-002A0X</v>
          </cell>
          <cell r="B152" t="str">
            <v>Stranger</v>
          </cell>
        </row>
        <row r="153">
          <cell r="A153" t="str">
            <v>S21110-002A0X</v>
          </cell>
          <cell r="B153" t="str">
            <v>Stranger</v>
          </cell>
        </row>
        <row r="154">
          <cell r="A154" t="str">
            <v>S11326-060A0X</v>
          </cell>
          <cell r="B154" t="str">
            <v>Stranger</v>
          </cell>
        </row>
        <row r="155">
          <cell r="A155" t="str">
            <v>S31277-001A1X</v>
          </cell>
          <cell r="B155" t="str">
            <v>Stranger</v>
          </cell>
        </row>
        <row r="156">
          <cell r="A156" t="str">
            <v>S11474-010A0X</v>
          </cell>
          <cell r="B156" t="str">
            <v>Stranger</v>
          </cell>
        </row>
        <row r="157">
          <cell r="A157" t="str">
            <v>14SW130125-00001X0</v>
          </cell>
          <cell r="B157" t="str">
            <v>Stranger</v>
          </cell>
        </row>
        <row r="158">
          <cell r="A158" t="str">
            <v>S11358-026A0X</v>
          </cell>
          <cell r="B158" t="str">
            <v>Stranger</v>
          </cell>
        </row>
        <row r="159">
          <cell r="A159" t="str">
            <v>S11358-028A0X</v>
          </cell>
          <cell r="B159" t="str">
            <v>Stranger</v>
          </cell>
        </row>
        <row r="160">
          <cell r="A160" t="str">
            <v>S32040-001A0X</v>
          </cell>
          <cell r="B160" t="str">
            <v>Stranger</v>
          </cell>
        </row>
        <row r="161">
          <cell r="A161" t="str">
            <v>S31705-009A0X</v>
          </cell>
          <cell r="B161" t="str">
            <v>Repeater</v>
          </cell>
        </row>
        <row r="162">
          <cell r="A162" t="str">
            <v>S33055-005A0X</v>
          </cell>
          <cell r="B162" t="str">
            <v>Stranger</v>
          </cell>
        </row>
        <row r="163">
          <cell r="A163" t="str">
            <v>S03046-002A0X</v>
          </cell>
          <cell r="B163" t="str">
            <v>Stranger</v>
          </cell>
        </row>
        <row r="164">
          <cell r="A164" t="str">
            <v>S31620-002A0X</v>
          </cell>
          <cell r="B164" t="str">
            <v>Stranger</v>
          </cell>
        </row>
        <row r="165">
          <cell r="A165" t="str">
            <v>S22085-005A0X</v>
          </cell>
          <cell r="B165" t="str">
            <v>Stranger</v>
          </cell>
        </row>
        <row r="166">
          <cell r="A166" t="str">
            <v>S31918-004A0X</v>
          </cell>
          <cell r="B166" t="str">
            <v>Stranger</v>
          </cell>
        </row>
        <row r="167">
          <cell r="A167" t="str">
            <v>S11340-008A0X</v>
          </cell>
          <cell r="B167" t="str">
            <v>Stranger</v>
          </cell>
        </row>
        <row r="168">
          <cell r="A168" t="str">
            <v>S11122-015A0X</v>
          </cell>
          <cell r="B168" t="str">
            <v>Stranger</v>
          </cell>
        </row>
        <row r="169">
          <cell r="A169" t="str">
            <v>S11122-015A0X</v>
          </cell>
          <cell r="B169" t="str">
            <v>Stranger</v>
          </cell>
        </row>
        <row r="170">
          <cell r="A170" t="str">
            <v>S13092-004A0X</v>
          </cell>
          <cell r="B170" t="str">
            <v>Stranger</v>
          </cell>
        </row>
        <row r="171">
          <cell r="A171" t="str">
            <v>S11210-020A0X</v>
          </cell>
          <cell r="B171" t="str">
            <v>Stranger</v>
          </cell>
        </row>
        <row r="172">
          <cell r="A172" t="str">
            <v>S21009-014A0X</v>
          </cell>
          <cell r="B172" t="str">
            <v>Stranger</v>
          </cell>
        </row>
        <row r="173">
          <cell r="A173" t="str">
            <v>311144-0003</v>
          </cell>
          <cell r="B173" t="str">
            <v>Stranger</v>
          </cell>
        </row>
        <row r="174">
          <cell r="A174" t="str">
            <v>S13071-008A0X</v>
          </cell>
          <cell r="B174" t="str">
            <v>Stranger</v>
          </cell>
        </row>
        <row r="175">
          <cell r="A175" t="str">
            <v>14SW311155-003A0X</v>
          </cell>
          <cell r="B175" t="str">
            <v>Repeater</v>
          </cell>
        </row>
        <row r="176">
          <cell r="A176" t="str">
            <v>14SW311156-002A0X</v>
          </cell>
          <cell r="B176" t="str">
            <v>Repeater</v>
          </cell>
        </row>
        <row r="177">
          <cell r="A177" t="str">
            <v>14SW311082-006A0X</v>
          </cell>
          <cell r="B177" t="str">
            <v>Repeater</v>
          </cell>
        </row>
        <row r="178">
          <cell r="A178" t="str">
            <v>14SW250068-00002X0</v>
          </cell>
          <cell r="B178" t="str">
            <v>Repeater</v>
          </cell>
        </row>
        <row r="179">
          <cell r="A179" t="str">
            <v>14SW250069-00001X0</v>
          </cell>
          <cell r="B179" t="str">
            <v>Repeater</v>
          </cell>
        </row>
        <row r="180">
          <cell r="A180" t="str">
            <v>14SW250068-00003X0</v>
          </cell>
          <cell r="B180" t="str">
            <v>Repeater</v>
          </cell>
        </row>
        <row r="181">
          <cell r="A181" t="str">
            <v>14SW250069-00002X0</v>
          </cell>
          <cell r="B181" t="str">
            <v>Repeater</v>
          </cell>
        </row>
        <row r="182">
          <cell r="A182" t="str">
            <v>14SW220207-00003X0</v>
          </cell>
          <cell r="B182" t="str">
            <v>Repeater</v>
          </cell>
        </row>
        <row r="183">
          <cell r="A183" t="str">
            <v>14SW311016-0003X0</v>
          </cell>
          <cell r="B183" t="str">
            <v>Repeater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9084-794F-436F-853D-34B50DF1E6F3}">
  <dimension ref="A1:N279"/>
  <sheetViews>
    <sheetView tabSelected="1" topLeftCell="I1" workbookViewId="0">
      <selection activeCell="O1" sqref="O1"/>
    </sheetView>
  </sheetViews>
  <sheetFormatPr defaultRowHeight="15" x14ac:dyDescent="0.25"/>
  <cols>
    <col min="1" max="1" width="12.7109375" customWidth="1"/>
    <col min="2" max="2" width="13.5703125" customWidth="1"/>
    <col min="3" max="4" width="21.7109375" customWidth="1"/>
    <col min="5" max="5" width="25.28515625" customWidth="1"/>
    <col min="6" max="6" width="21.7109375" customWidth="1"/>
    <col min="7" max="7" width="26.140625" customWidth="1"/>
    <col min="8" max="8" width="20.28515625" customWidth="1"/>
    <col min="9" max="9" width="14.7109375" customWidth="1"/>
    <col min="10" max="10" width="17.5703125" customWidth="1"/>
    <col min="11" max="11" width="18" customWidth="1"/>
    <col min="12" max="12" width="17.7109375" style="2" customWidth="1"/>
    <col min="13" max="13" width="17.85546875" customWidth="1"/>
  </cols>
  <sheetData>
    <row r="1" spans="1:14" x14ac:dyDescent="0.25">
      <c r="A1" s="6" t="s">
        <v>0</v>
      </c>
      <c r="B1" s="6" t="s">
        <v>1</v>
      </c>
      <c r="C1" s="6" t="s">
        <v>31</v>
      </c>
      <c r="D1" s="6" t="s">
        <v>15</v>
      </c>
      <c r="E1" s="6" t="s">
        <v>28</v>
      </c>
      <c r="F1" s="6" t="s">
        <v>16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174</v>
      </c>
      <c r="L1" s="7" t="s">
        <v>2</v>
      </c>
      <c r="M1" s="6" t="s">
        <v>12</v>
      </c>
      <c r="N1" s="6" t="s">
        <v>175</v>
      </c>
    </row>
    <row r="2" spans="1:14" s="3" customFormat="1" x14ac:dyDescent="0.25">
      <c r="A2" s="5" t="s">
        <v>4</v>
      </c>
      <c r="B2" s="5" t="s">
        <v>6</v>
      </c>
      <c r="C2" s="5" t="s">
        <v>14</v>
      </c>
      <c r="D2" s="5" t="s">
        <v>17</v>
      </c>
      <c r="E2" s="5" t="s">
        <v>17</v>
      </c>
      <c r="F2" s="5">
        <v>100</v>
      </c>
      <c r="G2" s="5" t="s">
        <v>13</v>
      </c>
      <c r="H2" s="5">
        <v>400</v>
      </c>
      <c r="I2" s="5">
        <v>385</v>
      </c>
      <c r="J2" s="5">
        <v>17</v>
      </c>
      <c r="K2" s="5">
        <v>0</v>
      </c>
      <c r="L2" s="9">
        <f t="shared" ref="L2:L33" si="0">I2 - (J2+K2)</f>
        <v>368</v>
      </c>
      <c r="M2" s="5">
        <f t="shared" ref="M2:M33" si="1">H2-I2</f>
        <v>15</v>
      </c>
      <c r="N2" s="5" t="str">
        <f>VLOOKUP(C2, [1]Sheet1!A:B, 2, FALSE)</f>
        <v>Repeater</v>
      </c>
    </row>
    <row r="3" spans="1:14" s="3" customFormat="1" x14ac:dyDescent="0.25">
      <c r="A3" s="5" t="s">
        <v>4</v>
      </c>
      <c r="B3" s="5" t="s">
        <v>6</v>
      </c>
      <c r="C3" s="5" t="s">
        <v>7</v>
      </c>
      <c r="D3" s="5" t="s">
        <v>20</v>
      </c>
      <c r="E3" s="5" t="s">
        <v>20</v>
      </c>
      <c r="F3" s="5">
        <v>90</v>
      </c>
      <c r="G3" s="5" t="s">
        <v>21</v>
      </c>
      <c r="H3" s="5">
        <v>900</v>
      </c>
      <c r="I3" s="5">
        <v>819</v>
      </c>
      <c r="J3" s="5">
        <v>21</v>
      </c>
      <c r="K3" s="10">
        <v>0</v>
      </c>
      <c r="L3" s="9">
        <f t="shared" si="0"/>
        <v>798</v>
      </c>
      <c r="M3" s="5">
        <f t="shared" si="1"/>
        <v>81</v>
      </c>
      <c r="N3" s="5" t="str">
        <f>VLOOKUP(C3, [1]Sheet1!A:B, 2, FALSE)</f>
        <v>Repeater</v>
      </c>
    </row>
    <row r="4" spans="1:14" s="3" customFormat="1" x14ac:dyDescent="0.25">
      <c r="A4" s="5" t="s">
        <v>4</v>
      </c>
      <c r="B4" s="5" t="s">
        <v>22</v>
      </c>
      <c r="C4" s="5" t="s">
        <v>18</v>
      </c>
      <c r="D4" s="5" t="s">
        <v>19</v>
      </c>
      <c r="E4" s="5" t="s">
        <v>19</v>
      </c>
      <c r="F4" s="5">
        <v>200</v>
      </c>
      <c r="G4" s="5" t="s">
        <v>13</v>
      </c>
      <c r="H4" s="5">
        <v>882</v>
      </c>
      <c r="I4" s="5">
        <v>2064</v>
      </c>
      <c r="J4" s="5">
        <v>46</v>
      </c>
      <c r="K4" s="5">
        <v>20</v>
      </c>
      <c r="L4" s="9">
        <f t="shared" si="0"/>
        <v>1998</v>
      </c>
      <c r="M4" s="5">
        <f t="shared" si="1"/>
        <v>-1182</v>
      </c>
      <c r="N4" s="5" t="str">
        <f>VLOOKUP(C4, [1]Sheet1!A:B, 2, FALSE)</f>
        <v>Runner</v>
      </c>
    </row>
    <row r="5" spans="1:14" s="3" customFormat="1" x14ac:dyDescent="0.25">
      <c r="A5" s="5" t="s">
        <v>4</v>
      </c>
      <c r="B5" s="5" t="s">
        <v>22</v>
      </c>
      <c r="C5" s="5" t="s">
        <v>18</v>
      </c>
      <c r="D5" s="5" t="s">
        <v>19</v>
      </c>
      <c r="E5" s="5" t="s">
        <v>19</v>
      </c>
      <c r="F5" s="5">
        <v>200</v>
      </c>
      <c r="G5" s="5" t="s">
        <v>21</v>
      </c>
      <c r="H5" s="5">
        <v>882</v>
      </c>
      <c r="I5" s="5">
        <v>1720</v>
      </c>
      <c r="J5" s="5">
        <v>44</v>
      </c>
      <c r="K5" s="5">
        <v>0</v>
      </c>
      <c r="L5" s="9">
        <f t="shared" si="0"/>
        <v>1676</v>
      </c>
      <c r="M5" s="5">
        <f t="shared" si="1"/>
        <v>-838</v>
      </c>
      <c r="N5" s="5" t="str">
        <f>VLOOKUP(C5, [1]Sheet1!A:B, 2, FALSE)</f>
        <v>Runner</v>
      </c>
    </row>
    <row r="6" spans="1:14" s="3" customFormat="1" x14ac:dyDescent="0.25">
      <c r="A6" s="5" t="s">
        <v>4</v>
      </c>
      <c r="B6" s="5" t="s">
        <v>22</v>
      </c>
      <c r="C6" s="5" t="s">
        <v>25</v>
      </c>
      <c r="D6" s="5" t="s">
        <v>26</v>
      </c>
      <c r="E6" s="5" t="s">
        <v>26</v>
      </c>
      <c r="F6" s="5">
        <v>140</v>
      </c>
      <c r="G6" s="5" t="s">
        <v>21</v>
      </c>
      <c r="H6" s="5">
        <v>440</v>
      </c>
      <c r="I6" s="5">
        <v>174</v>
      </c>
      <c r="J6" s="5">
        <v>12</v>
      </c>
      <c r="K6" s="5">
        <v>0</v>
      </c>
      <c r="L6" s="9">
        <f t="shared" si="0"/>
        <v>162</v>
      </c>
      <c r="M6" s="5">
        <f t="shared" si="1"/>
        <v>266</v>
      </c>
      <c r="N6" s="5" t="str">
        <f>VLOOKUP(C6, [1]Sheet1!A:B, 2, FALSE)</f>
        <v>Stranger</v>
      </c>
    </row>
    <row r="7" spans="1:14" s="3" customFormat="1" x14ac:dyDescent="0.25">
      <c r="A7" s="5" t="s">
        <v>4</v>
      </c>
      <c r="B7" s="5" t="s">
        <v>23</v>
      </c>
      <c r="C7" s="5" t="s">
        <v>27</v>
      </c>
      <c r="D7" s="5" t="s">
        <v>17</v>
      </c>
      <c r="E7" s="5" t="s">
        <v>17</v>
      </c>
      <c r="F7" s="5">
        <v>100</v>
      </c>
      <c r="G7" s="5" t="s">
        <v>13</v>
      </c>
      <c r="H7" s="5">
        <v>1008</v>
      </c>
      <c r="I7" s="5">
        <v>944</v>
      </c>
      <c r="J7" s="5">
        <v>42</v>
      </c>
      <c r="K7" s="5">
        <v>0</v>
      </c>
      <c r="L7" s="9">
        <f t="shared" si="0"/>
        <v>902</v>
      </c>
      <c r="M7" s="5">
        <f t="shared" si="1"/>
        <v>64</v>
      </c>
      <c r="N7" s="5" t="str">
        <f>VLOOKUP(C7, [1]Sheet1!A:B, 2, FALSE)</f>
        <v>Stranger</v>
      </c>
    </row>
    <row r="8" spans="1:14" s="3" customFormat="1" x14ac:dyDescent="0.25">
      <c r="A8" s="5" t="s">
        <v>4</v>
      </c>
      <c r="B8" s="5" t="s">
        <v>23</v>
      </c>
      <c r="C8" s="5" t="s">
        <v>27</v>
      </c>
      <c r="D8" s="5" t="s">
        <v>17</v>
      </c>
      <c r="E8" s="5" t="s">
        <v>17</v>
      </c>
      <c r="F8" s="5">
        <v>100</v>
      </c>
      <c r="G8" s="5" t="s">
        <v>21</v>
      </c>
      <c r="H8" s="5">
        <v>1008</v>
      </c>
      <c r="I8" s="5">
        <v>990</v>
      </c>
      <c r="J8" s="5">
        <v>50</v>
      </c>
      <c r="K8" s="5">
        <v>0</v>
      </c>
      <c r="L8" s="9">
        <f t="shared" si="0"/>
        <v>940</v>
      </c>
      <c r="M8" s="5">
        <f t="shared" si="1"/>
        <v>18</v>
      </c>
      <c r="N8" s="5" t="str">
        <f>VLOOKUP(C8, [1]Sheet1!A:B, 2, FALSE)</f>
        <v>Stranger</v>
      </c>
    </row>
    <row r="9" spans="1:14" s="3" customFormat="1" x14ac:dyDescent="0.25">
      <c r="A9" s="5" t="s">
        <v>4</v>
      </c>
      <c r="B9" s="5" t="s">
        <v>24</v>
      </c>
      <c r="C9" s="5" t="s">
        <v>30</v>
      </c>
      <c r="D9" s="11" t="s">
        <v>32</v>
      </c>
      <c r="E9" s="5" t="s">
        <v>36</v>
      </c>
      <c r="F9" s="5">
        <v>150</v>
      </c>
      <c r="G9" s="5" t="s">
        <v>13</v>
      </c>
      <c r="H9" s="5">
        <v>1600</v>
      </c>
      <c r="I9" s="5">
        <v>828</v>
      </c>
      <c r="J9" s="5">
        <v>20</v>
      </c>
      <c r="K9" s="5">
        <v>82</v>
      </c>
      <c r="L9" s="9">
        <f t="shared" si="0"/>
        <v>726</v>
      </c>
      <c r="M9" s="5">
        <f t="shared" si="1"/>
        <v>772</v>
      </c>
      <c r="N9" s="5" t="str">
        <f>VLOOKUP(C9, [1]Sheet1!A:B, 2, FALSE)</f>
        <v>Runner</v>
      </c>
    </row>
    <row r="10" spans="1:14" s="3" customFormat="1" x14ac:dyDescent="0.25">
      <c r="A10" s="5" t="s">
        <v>4</v>
      </c>
      <c r="B10" s="5" t="s">
        <v>24</v>
      </c>
      <c r="C10" s="5" t="s">
        <v>30</v>
      </c>
      <c r="D10" s="11" t="s">
        <v>32</v>
      </c>
      <c r="E10" s="5" t="s">
        <v>36</v>
      </c>
      <c r="F10" s="5">
        <v>150</v>
      </c>
      <c r="G10" s="5" t="s">
        <v>21</v>
      </c>
      <c r="H10" s="5">
        <v>1600</v>
      </c>
      <c r="I10" s="5">
        <v>925</v>
      </c>
      <c r="J10" s="5">
        <v>50</v>
      </c>
      <c r="K10" s="5">
        <v>30</v>
      </c>
      <c r="L10" s="9">
        <f t="shared" si="0"/>
        <v>845</v>
      </c>
      <c r="M10" s="5">
        <f t="shared" si="1"/>
        <v>675</v>
      </c>
      <c r="N10" s="5" t="str">
        <f>VLOOKUP(C10, [1]Sheet1!A:B, 2, FALSE)</f>
        <v>Runner</v>
      </c>
    </row>
    <row r="11" spans="1:14" s="3" customFormat="1" x14ac:dyDescent="0.25">
      <c r="A11" s="5" t="s">
        <v>4</v>
      </c>
      <c r="B11" s="5" t="s">
        <v>34</v>
      </c>
      <c r="C11" s="5" t="s">
        <v>33</v>
      </c>
      <c r="D11" s="5" t="s">
        <v>35</v>
      </c>
      <c r="E11" s="5" t="s">
        <v>35</v>
      </c>
      <c r="F11" s="5">
        <v>240</v>
      </c>
      <c r="G11" s="5" t="s">
        <v>13</v>
      </c>
      <c r="H11" s="5">
        <v>882</v>
      </c>
      <c r="I11" s="5">
        <v>2628</v>
      </c>
      <c r="J11" s="5">
        <v>12</v>
      </c>
      <c r="K11" s="5">
        <v>0</v>
      </c>
      <c r="L11" s="9">
        <f t="shared" si="0"/>
        <v>2616</v>
      </c>
      <c r="M11" s="5">
        <f t="shared" si="1"/>
        <v>-1746</v>
      </c>
      <c r="N11" s="5" t="str">
        <f>VLOOKUP(C11, [1]Sheet1!A:B, 2, FALSE)</f>
        <v>Runner</v>
      </c>
    </row>
    <row r="12" spans="1:14" s="3" customFormat="1" x14ac:dyDescent="0.25">
      <c r="A12" s="5" t="s">
        <v>4</v>
      </c>
      <c r="B12" s="5" t="s">
        <v>34</v>
      </c>
      <c r="C12" s="5" t="s">
        <v>33</v>
      </c>
      <c r="D12" s="5" t="s">
        <v>35</v>
      </c>
      <c r="E12" s="5" t="s">
        <v>35</v>
      </c>
      <c r="F12" s="5">
        <v>240</v>
      </c>
      <c r="G12" s="5" t="s">
        <v>21</v>
      </c>
      <c r="H12" s="5">
        <v>992</v>
      </c>
      <c r="I12" s="5">
        <v>596</v>
      </c>
      <c r="J12" s="5">
        <v>4</v>
      </c>
      <c r="K12" s="5">
        <v>0</v>
      </c>
      <c r="L12" s="9">
        <f t="shared" si="0"/>
        <v>592</v>
      </c>
      <c r="M12" s="5">
        <f t="shared" si="1"/>
        <v>396</v>
      </c>
      <c r="N12" s="5" t="str">
        <f>VLOOKUP(C12, [1]Sheet1!A:B, 2, FALSE)</f>
        <v>Runner</v>
      </c>
    </row>
    <row r="13" spans="1:14" s="3" customFormat="1" x14ac:dyDescent="0.25">
      <c r="A13" s="5" t="s">
        <v>4</v>
      </c>
      <c r="B13" s="5" t="s">
        <v>34</v>
      </c>
      <c r="C13" s="5" t="s">
        <v>39</v>
      </c>
      <c r="D13" s="5" t="s">
        <v>40</v>
      </c>
      <c r="E13" s="5" t="s">
        <v>40</v>
      </c>
      <c r="F13" s="5">
        <v>190</v>
      </c>
      <c r="G13" s="5" t="s">
        <v>21</v>
      </c>
      <c r="H13" s="5">
        <v>2000</v>
      </c>
      <c r="I13" s="5">
        <v>1464</v>
      </c>
      <c r="J13" s="5">
        <v>26</v>
      </c>
      <c r="K13" s="5">
        <v>0</v>
      </c>
      <c r="L13" s="9">
        <f t="shared" si="0"/>
        <v>1438</v>
      </c>
      <c r="M13" s="5">
        <f t="shared" si="1"/>
        <v>536</v>
      </c>
      <c r="N13" s="5" t="str">
        <f>VLOOKUP(C13, [1]Sheet1!A:B, 2, FALSE)</f>
        <v>Runner</v>
      </c>
    </row>
    <row r="14" spans="1:14" s="3" customFormat="1" x14ac:dyDescent="0.25">
      <c r="A14" s="5" t="s">
        <v>4</v>
      </c>
      <c r="B14" s="5" t="s">
        <v>37</v>
      </c>
      <c r="C14" s="5" t="s">
        <v>44</v>
      </c>
      <c r="D14" s="5" t="s">
        <v>45</v>
      </c>
      <c r="E14" s="5" t="s">
        <v>42</v>
      </c>
      <c r="F14" s="5">
        <v>90</v>
      </c>
      <c r="G14" s="5" t="s">
        <v>13</v>
      </c>
      <c r="H14" s="5">
        <v>240</v>
      </c>
      <c r="I14" s="5">
        <v>341</v>
      </c>
      <c r="J14" s="5">
        <v>7</v>
      </c>
      <c r="K14" s="5">
        <v>0</v>
      </c>
      <c r="L14" s="9">
        <f t="shared" si="0"/>
        <v>334</v>
      </c>
      <c r="M14" s="5">
        <f t="shared" si="1"/>
        <v>-101</v>
      </c>
      <c r="N14" s="5" t="str">
        <f>VLOOKUP(C14, [1]Sheet1!A:B, 2, FALSE)</f>
        <v>Stranger</v>
      </c>
    </row>
    <row r="15" spans="1:14" s="3" customFormat="1" x14ac:dyDescent="0.25">
      <c r="A15" s="5" t="s">
        <v>4</v>
      </c>
      <c r="B15" s="5" t="s">
        <v>37</v>
      </c>
      <c r="C15" s="5" t="s">
        <v>47</v>
      </c>
      <c r="D15" s="5" t="s">
        <v>42</v>
      </c>
      <c r="E15" s="5" t="s">
        <v>46</v>
      </c>
      <c r="F15" s="5">
        <v>360</v>
      </c>
      <c r="G15" s="5" t="s">
        <v>13</v>
      </c>
      <c r="H15" s="5">
        <v>3200</v>
      </c>
      <c r="I15" s="5">
        <v>2305</v>
      </c>
      <c r="J15" s="5">
        <v>95</v>
      </c>
      <c r="K15" s="5">
        <v>0</v>
      </c>
      <c r="L15" s="9">
        <f t="shared" si="0"/>
        <v>2210</v>
      </c>
      <c r="M15" s="5">
        <f t="shared" si="1"/>
        <v>895</v>
      </c>
      <c r="N15" s="5" t="str">
        <f>VLOOKUP(C15, [1]Sheet1!A:B, 2, FALSE)</f>
        <v>Runner</v>
      </c>
    </row>
    <row r="16" spans="1:14" s="3" customFormat="1" x14ac:dyDescent="0.25">
      <c r="A16" s="5" t="s">
        <v>4</v>
      </c>
      <c r="B16" s="5" t="s">
        <v>37</v>
      </c>
      <c r="C16" s="5" t="s">
        <v>47</v>
      </c>
      <c r="D16" s="5" t="s">
        <v>46</v>
      </c>
      <c r="E16" s="5" t="s">
        <v>46</v>
      </c>
      <c r="F16" s="5">
        <v>360</v>
      </c>
      <c r="G16" s="5" t="s">
        <v>21</v>
      </c>
      <c r="H16" s="5">
        <v>1260</v>
      </c>
      <c r="I16" s="5">
        <v>1180</v>
      </c>
      <c r="J16" s="5">
        <v>80</v>
      </c>
      <c r="K16" s="5">
        <v>0</v>
      </c>
      <c r="L16" s="9">
        <f t="shared" si="0"/>
        <v>1100</v>
      </c>
      <c r="M16" s="5">
        <f t="shared" si="1"/>
        <v>80</v>
      </c>
      <c r="N16" s="5" t="str">
        <f>VLOOKUP(C16, [1]Sheet1!A:B, 2, FALSE)</f>
        <v>Runner</v>
      </c>
    </row>
    <row r="17" spans="1:14" s="3" customFormat="1" x14ac:dyDescent="0.25">
      <c r="A17" s="5" t="s">
        <v>4</v>
      </c>
      <c r="B17" s="5" t="s">
        <v>37</v>
      </c>
      <c r="C17" s="5" t="s">
        <v>41</v>
      </c>
      <c r="D17" s="5" t="s">
        <v>42</v>
      </c>
      <c r="E17" s="5" t="s">
        <v>42</v>
      </c>
      <c r="F17" s="5">
        <v>120</v>
      </c>
      <c r="G17" s="5" t="s">
        <v>21</v>
      </c>
      <c r="H17" s="5">
        <v>960</v>
      </c>
      <c r="I17" s="5">
        <v>780</v>
      </c>
      <c r="J17" s="5">
        <v>60</v>
      </c>
      <c r="K17" s="5">
        <v>0</v>
      </c>
      <c r="L17" s="9">
        <f t="shared" si="0"/>
        <v>720</v>
      </c>
      <c r="M17" s="5">
        <f t="shared" si="1"/>
        <v>180</v>
      </c>
      <c r="N17" s="5" t="e">
        <f>VLOOKUP(C17, [1]Sheet1!A:B, 2, FALSE)</f>
        <v>#N/A</v>
      </c>
    </row>
    <row r="18" spans="1:14" s="3" customFormat="1" x14ac:dyDescent="0.25">
      <c r="A18" s="5" t="s">
        <v>4</v>
      </c>
      <c r="B18" s="5" t="s">
        <v>38</v>
      </c>
      <c r="C18" s="5" t="s">
        <v>50</v>
      </c>
      <c r="D18" s="5" t="s">
        <v>51</v>
      </c>
      <c r="E18" s="11">
        <v>46080</v>
      </c>
      <c r="F18" s="5">
        <v>280</v>
      </c>
      <c r="G18" s="5" t="s">
        <v>13</v>
      </c>
      <c r="H18" s="5">
        <v>2000</v>
      </c>
      <c r="I18" s="5">
        <v>368</v>
      </c>
      <c r="J18" s="5">
        <v>20</v>
      </c>
      <c r="K18" s="5">
        <v>0</v>
      </c>
      <c r="L18" s="9">
        <f t="shared" si="0"/>
        <v>348</v>
      </c>
      <c r="M18" s="5">
        <f t="shared" si="1"/>
        <v>1632</v>
      </c>
      <c r="N18" s="5" t="str">
        <f>VLOOKUP(C18, [1]Sheet1!A:B, 2, FALSE)</f>
        <v>Repeater</v>
      </c>
    </row>
    <row r="19" spans="1:14" s="3" customFormat="1" x14ac:dyDescent="0.25">
      <c r="A19" s="5" t="s">
        <v>4</v>
      </c>
      <c r="B19" s="5" t="s">
        <v>38</v>
      </c>
      <c r="C19" s="5" t="s">
        <v>52</v>
      </c>
      <c r="D19" s="5" t="s">
        <v>42</v>
      </c>
      <c r="E19" s="5" t="s">
        <v>42</v>
      </c>
      <c r="F19" s="5">
        <v>120</v>
      </c>
      <c r="G19" s="5" t="s">
        <v>13</v>
      </c>
      <c r="H19" s="5"/>
      <c r="I19" s="5">
        <v>782</v>
      </c>
      <c r="J19" s="5">
        <v>22</v>
      </c>
      <c r="K19" s="5">
        <v>0</v>
      </c>
      <c r="L19" s="9">
        <f t="shared" si="0"/>
        <v>760</v>
      </c>
      <c r="M19" s="5">
        <f t="shared" si="1"/>
        <v>-782</v>
      </c>
      <c r="N19" s="5" t="str">
        <f>VLOOKUP(C19, [1]Sheet1!A:B, 2, FALSE)</f>
        <v>Runner</v>
      </c>
    </row>
    <row r="20" spans="1:14" s="3" customFormat="1" x14ac:dyDescent="0.25">
      <c r="A20" s="5" t="s">
        <v>4</v>
      </c>
      <c r="B20" s="5" t="s">
        <v>38</v>
      </c>
      <c r="C20" s="5" t="s">
        <v>52</v>
      </c>
      <c r="D20" s="5" t="s">
        <v>42</v>
      </c>
      <c r="E20" s="5" t="s">
        <v>42</v>
      </c>
      <c r="F20" s="5">
        <v>120</v>
      </c>
      <c r="G20" s="5" t="s">
        <v>21</v>
      </c>
      <c r="H20" s="5">
        <v>720</v>
      </c>
      <c r="I20" s="5">
        <v>570</v>
      </c>
      <c r="J20" s="5">
        <v>10</v>
      </c>
      <c r="K20" s="5">
        <v>0</v>
      </c>
      <c r="L20" s="9">
        <f t="shared" si="0"/>
        <v>560</v>
      </c>
      <c r="M20" s="5">
        <f t="shared" si="1"/>
        <v>150</v>
      </c>
      <c r="N20" s="5" t="str">
        <f>VLOOKUP(C20, [1]Sheet1!A:B, 2, FALSE)</f>
        <v>Runner</v>
      </c>
    </row>
    <row r="21" spans="1:14" s="3" customFormat="1" x14ac:dyDescent="0.25">
      <c r="A21" s="5" t="s">
        <v>4</v>
      </c>
      <c r="B21" s="5" t="s">
        <v>38</v>
      </c>
      <c r="C21" s="5" t="s">
        <v>53</v>
      </c>
      <c r="D21" s="5" t="s">
        <v>42</v>
      </c>
      <c r="E21" s="5" t="s">
        <v>54</v>
      </c>
      <c r="F21" s="5">
        <v>120</v>
      </c>
      <c r="G21" s="5" t="s">
        <v>21</v>
      </c>
      <c r="H21" s="5">
        <v>448</v>
      </c>
      <c r="I21" s="5">
        <v>432</v>
      </c>
      <c r="J21" s="5">
        <v>6</v>
      </c>
      <c r="K21" s="5">
        <v>0</v>
      </c>
      <c r="L21" s="9">
        <f t="shared" si="0"/>
        <v>426</v>
      </c>
      <c r="M21" s="5">
        <f t="shared" si="1"/>
        <v>16</v>
      </c>
      <c r="N21" s="5" t="str">
        <f>VLOOKUP(C21, [1]Sheet1!A:B, 2, FALSE)</f>
        <v>Repeater</v>
      </c>
    </row>
    <row r="22" spans="1:14" s="3" customFormat="1" x14ac:dyDescent="0.25">
      <c r="A22" s="5" t="s">
        <v>4</v>
      </c>
      <c r="B22" s="5" t="s">
        <v>43</v>
      </c>
      <c r="C22" s="5" t="s">
        <v>56</v>
      </c>
      <c r="D22" s="5" t="s">
        <v>57</v>
      </c>
      <c r="E22" s="5" t="s">
        <v>57</v>
      </c>
      <c r="F22" s="5">
        <v>60</v>
      </c>
      <c r="G22" s="5" t="s">
        <v>13</v>
      </c>
      <c r="H22" s="5">
        <v>200</v>
      </c>
      <c r="I22" s="5">
        <v>0</v>
      </c>
      <c r="J22" s="5">
        <v>0</v>
      </c>
      <c r="K22" s="5">
        <v>0</v>
      </c>
      <c r="L22" s="9">
        <f t="shared" si="0"/>
        <v>0</v>
      </c>
      <c r="M22" s="5">
        <f t="shared" si="1"/>
        <v>200</v>
      </c>
      <c r="N22" s="5" t="str">
        <f>VLOOKUP(C22, [1]Sheet1!A:B, 2, FALSE)</f>
        <v>Repeater</v>
      </c>
    </row>
    <row r="23" spans="1:14" s="3" customFormat="1" x14ac:dyDescent="0.25">
      <c r="A23" s="5" t="s">
        <v>4</v>
      </c>
      <c r="B23" s="5" t="s">
        <v>43</v>
      </c>
      <c r="C23" s="5" t="s">
        <v>58</v>
      </c>
      <c r="D23" s="5" t="s">
        <v>59</v>
      </c>
      <c r="E23" s="5" t="s">
        <v>59</v>
      </c>
      <c r="F23" s="5">
        <v>100</v>
      </c>
      <c r="G23" s="5" t="s">
        <v>13</v>
      </c>
      <c r="H23" s="5"/>
      <c r="I23" s="5">
        <v>152</v>
      </c>
      <c r="J23" s="5">
        <v>33</v>
      </c>
      <c r="K23" s="5">
        <v>0</v>
      </c>
      <c r="L23" s="9">
        <f t="shared" si="0"/>
        <v>119</v>
      </c>
      <c r="M23" s="5">
        <f t="shared" si="1"/>
        <v>-152</v>
      </c>
      <c r="N23" s="5" t="str">
        <f>VLOOKUP(C23, [1]Sheet1!A:B, 2, FALSE)</f>
        <v>Runner</v>
      </c>
    </row>
    <row r="24" spans="1:14" s="3" customFormat="1" x14ac:dyDescent="0.25">
      <c r="A24" s="5" t="s">
        <v>4</v>
      </c>
      <c r="B24" s="5" t="s">
        <v>43</v>
      </c>
      <c r="C24" s="5" t="s">
        <v>58</v>
      </c>
      <c r="D24" s="5" t="s">
        <v>59</v>
      </c>
      <c r="E24" s="5" t="s">
        <v>59</v>
      </c>
      <c r="F24" s="5">
        <v>100</v>
      </c>
      <c r="G24" s="5" t="s">
        <v>21</v>
      </c>
      <c r="H24" s="5">
        <v>400</v>
      </c>
      <c r="I24" s="5">
        <v>397</v>
      </c>
      <c r="J24" s="5">
        <v>19</v>
      </c>
      <c r="K24" s="5">
        <v>0</v>
      </c>
      <c r="L24" s="9">
        <f t="shared" si="0"/>
        <v>378</v>
      </c>
      <c r="M24" s="5">
        <f t="shared" si="1"/>
        <v>3</v>
      </c>
      <c r="N24" s="5" t="str">
        <f>VLOOKUP(C24, [1]Sheet1!A:B, 2, FALSE)</f>
        <v>Runner</v>
      </c>
    </row>
    <row r="25" spans="1:14" s="3" customFormat="1" x14ac:dyDescent="0.25">
      <c r="A25" s="5" t="s">
        <v>4</v>
      </c>
      <c r="B25" s="5" t="s">
        <v>43</v>
      </c>
      <c r="C25" s="5" t="s">
        <v>60</v>
      </c>
      <c r="D25" s="5" t="s">
        <v>61</v>
      </c>
      <c r="E25" s="5" t="s">
        <v>61</v>
      </c>
      <c r="F25" s="5">
        <v>80</v>
      </c>
      <c r="G25" s="5" t="s">
        <v>21</v>
      </c>
      <c r="H25" s="5">
        <v>0</v>
      </c>
      <c r="I25" s="5">
        <v>464</v>
      </c>
      <c r="J25" s="5">
        <v>14</v>
      </c>
      <c r="K25" s="5">
        <v>0</v>
      </c>
      <c r="L25" s="9">
        <f t="shared" si="0"/>
        <v>450</v>
      </c>
      <c r="M25" s="5">
        <f t="shared" si="1"/>
        <v>-464</v>
      </c>
      <c r="N25" s="5" t="str">
        <f>VLOOKUP(C25, [1]Sheet1!A:B, 2, FALSE)</f>
        <v>Repeater</v>
      </c>
    </row>
    <row r="26" spans="1:14" s="3" customFormat="1" x14ac:dyDescent="0.25">
      <c r="A26" s="5" t="s">
        <v>4</v>
      </c>
      <c r="B26" s="5" t="s">
        <v>48</v>
      </c>
      <c r="C26" s="5" t="s">
        <v>62</v>
      </c>
      <c r="D26" s="5" t="s">
        <v>61</v>
      </c>
      <c r="E26" s="5" t="s">
        <v>61</v>
      </c>
      <c r="F26" s="5">
        <v>80</v>
      </c>
      <c r="G26" s="5" t="s">
        <v>13</v>
      </c>
      <c r="H26" s="5">
        <v>880</v>
      </c>
      <c r="I26" s="5">
        <v>896</v>
      </c>
      <c r="J26" s="5">
        <v>5</v>
      </c>
      <c r="K26" s="5">
        <v>19</v>
      </c>
      <c r="L26" s="9">
        <f t="shared" si="0"/>
        <v>872</v>
      </c>
      <c r="M26" s="5">
        <f t="shared" si="1"/>
        <v>-16</v>
      </c>
      <c r="N26" s="5" t="str">
        <f>VLOOKUP(C26, [1]Sheet1!A:B, 2, FALSE)</f>
        <v>Runner</v>
      </c>
    </row>
    <row r="27" spans="1:14" s="3" customFormat="1" x14ac:dyDescent="0.25">
      <c r="A27" s="5" t="s">
        <v>4</v>
      </c>
      <c r="B27" s="5" t="s">
        <v>48</v>
      </c>
      <c r="C27" s="5" t="s">
        <v>62</v>
      </c>
      <c r="D27" s="5" t="s">
        <v>63</v>
      </c>
      <c r="E27" s="5" t="s">
        <v>63</v>
      </c>
      <c r="F27" s="5">
        <v>80</v>
      </c>
      <c r="G27" s="5" t="s">
        <v>21</v>
      </c>
      <c r="H27" s="5">
        <v>880</v>
      </c>
      <c r="I27" s="5">
        <v>808</v>
      </c>
      <c r="J27" s="5">
        <v>30</v>
      </c>
      <c r="K27" s="5">
        <v>7</v>
      </c>
      <c r="L27" s="9">
        <f t="shared" si="0"/>
        <v>771</v>
      </c>
      <c r="M27" s="5">
        <f t="shared" si="1"/>
        <v>72</v>
      </c>
      <c r="N27" s="5" t="str">
        <f>VLOOKUP(C27, [1]Sheet1!A:B, 2, FALSE)</f>
        <v>Runner</v>
      </c>
    </row>
    <row r="28" spans="1:14" s="3" customFormat="1" x14ac:dyDescent="0.25">
      <c r="A28" s="5" t="s">
        <v>4</v>
      </c>
      <c r="B28" s="5" t="s">
        <v>49</v>
      </c>
      <c r="C28" s="5" t="s">
        <v>64</v>
      </c>
      <c r="D28" s="11">
        <v>46077</v>
      </c>
      <c r="E28" s="11">
        <v>46078</v>
      </c>
      <c r="F28" s="5">
        <v>300</v>
      </c>
      <c r="G28" s="5" t="s">
        <v>13</v>
      </c>
      <c r="H28" s="5">
        <v>3150</v>
      </c>
      <c r="I28" s="5">
        <v>3050</v>
      </c>
      <c r="J28" s="5">
        <v>50</v>
      </c>
      <c r="K28" s="5">
        <v>10</v>
      </c>
      <c r="L28" s="9">
        <f t="shared" si="0"/>
        <v>2990</v>
      </c>
      <c r="M28" s="5">
        <f t="shared" si="1"/>
        <v>100</v>
      </c>
      <c r="N28" s="5" t="str">
        <f>VLOOKUP(C28, [1]Sheet1!A:B, 2, FALSE)</f>
        <v>Runner</v>
      </c>
    </row>
    <row r="29" spans="1:14" s="3" customFormat="1" x14ac:dyDescent="0.25">
      <c r="A29" s="5" t="s">
        <v>4</v>
      </c>
      <c r="B29" s="5" t="s">
        <v>49</v>
      </c>
      <c r="C29" s="5" t="s">
        <v>64</v>
      </c>
      <c r="D29" s="11">
        <v>46077</v>
      </c>
      <c r="E29" s="11">
        <v>46078</v>
      </c>
      <c r="F29" s="5">
        <v>300</v>
      </c>
      <c r="G29" s="5" t="s">
        <v>21</v>
      </c>
      <c r="H29" s="5">
        <v>2520</v>
      </c>
      <c r="I29" s="5">
        <v>2534</v>
      </c>
      <c r="J29" s="5">
        <v>16</v>
      </c>
      <c r="K29" s="5">
        <v>0</v>
      </c>
      <c r="L29" s="9">
        <f t="shared" si="0"/>
        <v>2518</v>
      </c>
      <c r="M29" s="5">
        <f t="shared" si="1"/>
        <v>-14</v>
      </c>
      <c r="N29" s="5" t="str">
        <f>VLOOKUP(C29, [1]Sheet1!A:B, 2, FALSE)</f>
        <v>Runner</v>
      </c>
    </row>
    <row r="30" spans="1:14" s="3" customFormat="1" x14ac:dyDescent="0.25">
      <c r="A30" s="5" t="s">
        <v>4</v>
      </c>
      <c r="B30" s="5" t="s">
        <v>55</v>
      </c>
      <c r="C30" s="5" t="s">
        <v>70</v>
      </c>
      <c r="D30" s="5" t="s">
        <v>19</v>
      </c>
      <c r="E30" s="5" t="s">
        <v>19</v>
      </c>
      <c r="F30" s="5">
        <v>200</v>
      </c>
      <c r="G30" s="5" t="s">
        <v>13</v>
      </c>
      <c r="H30" s="5">
        <v>882</v>
      </c>
      <c r="I30" s="5">
        <v>1424</v>
      </c>
      <c r="J30" s="5">
        <v>40</v>
      </c>
      <c r="K30" s="5">
        <v>0</v>
      </c>
      <c r="L30" s="9">
        <f t="shared" si="0"/>
        <v>1384</v>
      </c>
      <c r="M30" s="5">
        <f t="shared" si="1"/>
        <v>-542</v>
      </c>
      <c r="N30" s="5" t="str">
        <f>VLOOKUP(C30, [1]Sheet1!A:B, 2, FALSE)</f>
        <v>Runner</v>
      </c>
    </row>
    <row r="31" spans="1:14" s="3" customFormat="1" x14ac:dyDescent="0.25">
      <c r="A31" s="5" t="s">
        <v>4</v>
      </c>
      <c r="B31" s="5" t="s">
        <v>55</v>
      </c>
      <c r="C31" s="5" t="s">
        <v>71</v>
      </c>
      <c r="D31" s="5" t="s">
        <v>20</v>
      </c>
      <c r="E31" s="5" t="s">
        <v>20</v>
      </c>
      <c r="F31" s="5">
        <v>90</v>
      </c>
      <c r="G31" s="5" t="s">
        <v>13</v>
      </c>
      <c r="H31" s="5">
        <v>0</v>
      </c>
      <c r="I31" s="5">
        <v>90</v>
      </c>
      <c r="J31" s="5">
        <v>0</v>
      </c>
      <c r="K31" s="5">
        <v>0</v>
      </c>
      <c r="L31" s="9">
        <f t="shared" si="0"/>
        <v>90</v>
      </c>
      <c r="M31" s="5">
        <f t="shared" si="1"/>
        <v>-90</v>
      </c>
      <c r="N31" s="5" t="str">
        <f>VLOOKUP(C31, [1]Sheet1!A:B, 2, FALSE)</f>
        <v>Stranger</v>
      </c>
    </row>
    <row r="32" spans="1:14" s="3" customFormat="1" x14ac:dyDescent="0.25">
      <c r="A32" s="5" t="s">
        <v>4</v>
      </c>
      <c r="B32" s="5" t="s">
        <v>55</v>
      </c>
      <c r="C32" s="5" t="s">
        <v>71</v>
      </c>
      <c r="D32" s="5" t="s">
        <v>20</v>
      </c>
      <c r="E32" s="5" t="s">
        <v>20</v>
      </c>
      <c r="F32" s="5">
        <v>90</v>
      </c>
      <c r="G32" s="5" t="s">
        <v>21</v>
      </c>
      <c r="H32" s="5">
        <v>800</v>
      </c>
      <c r="I32" s="5">
        <v>784</v>
      </c>
      <c r="J32" s="5">
        <v>0</v>
      </c>
      <c r="K32" s="5">
        <v>0</v>
      </c>
      <c r="L32" s="9">
        <f t="shared" si="0"/>
        <v>784</v>
      </c>
      <c r="M32" s="5">
        <f t="shared" si="1"/>
        <v>16</v>
      </c>
      <c r="N32" s="5" t="str">
        <f>VLOOKUP(C32, [1]Sheet1!A:B, 2, FALSE)</f>
        <v>Stranger</v>
      </c>
    </row>
    <row r="33" spans="1:14" s="3" customFormat="1" x14ac:dyDescent="0.25">
      <c r="A33" s="5" t="s">
        <v>4</v>
      </c>
      <c r="B33" s="5" t="s">
        <v>55</v>
      </c>
      <c r="C33" s="5" t="s">
        <v>68</v>
      </c>
      <c r="D33" s="5" t="s">
        <v>45</v>
      </c>
      <c r="E33" s="5" t="s">
        <v>45</v>
      </c>
      <c r="F33" s="5">
        <v>90</v>
      </c>
      <c r="G33" s="5" t="s">
        <v>21</v>
      </c>
      <c r="H33" s="5">
        <v>882</v>
      </c>
      <c r="I33" s="5">
        <v>150</v>
      </c>
      <c r="J33" s="5">
        <v>14</v>
      </c>
      <c r="K33" s="5">
        <v>0</v>
      </c>
      <c r="L33" s="9">
        <f t="shared" si="0"/>
        <v>136</v>
      </c>
      <c r="M33" s="5">
        <f t="shared" si="1"/>
        <v>732</v>
      </c>
      <c r="N33" s="5" t="str">
        <f>VLOOKUP(C33, [1]Sheet1!A:B, 2, FALSE)</f>
        <v>Stranger</v>
      </c>
    </row>
    <row r="34" spans="1:14" s="3" customFormat="1" x14ac:dyDescent="0.25">
      <c r="A34" s="5" t="s">
        <v>4</v>
      </c>
      <c r="B34" s="5" t="s">
        <v>65</v>
      </c>
      <c r="C34" s="5" t="s">
        <v>72</v>
      </c>
      <c r="D34" s="5" t="s">
        <v>19</v>
      </c>
      <c r="E34" s="5" t="s">
        <v>19</v>
      </c>
      <c r="F34" s="5">
        <v>200</v>
      </c>
      <c r="G34" s="5" t="s">
        <v>13</v>
      </c>
      <c r="H34" s="5">
        <v>441</v>
      </c>
      <c r="I34" s="5">
        <v>866</v>
      </c>
      <c r="J34" s="5">
        <v>6</v>
      </c>
      <c r="K34" s="5">
        <v>0</v>
      </c>
      <c r="L34" s="9">
        <f t="shared" ref="L34:L65" si="2">I34 - (J34+K34)</f>
        <v>860</v>
      </c>
      <c r="M34" s="5">
        <f t="shared" ref="M34:M67" si="3">H34-I34</f>
        <v>-425</v>
      </c>
      <c r="N34" s="5" t="str">
        <f>VLOOKUP(C34, [1]Sheet1!A:B, 2, FALSE)</f>
        <v>Runner</v>
      </c>
    </row>
    <row r="35" spans="1:14" s="3" customFormat="1" x14ac:dyDescent="0.25">
      <c r="A35" s="5" t="s">
        <v>4</v>
      </c>
      <c r="B35" s="5" t="s">
        <v>65</v>
      </c>
      <c r="C35" s="5" t="s">
        <v>72</v>
      </c>
      <c r="D35" s="5" t="s">
        <v>19</v>
      </c>
      <c r="E35" s="5" t="s">
        <v>19</v>
      </c>
      <c r="F35" s="5">
        <v>200</v>
      </c>
      <c r="G35" s="5" t="s">
        <v>21</v>
      </c>
      <c r="H35" s="5">
        <v>441</v>
      </c>
      <c r="I35" s="5">
        <v>230</v>
      </c>
      <c r="J35" s="5">
        <v>2</v>
      </c>
      <c r="K35" s="5">
        <v>0</v>
      </c>
      <c r="L35" s="9">
        <f t="shared" si="2"/>
        <v>228</v>
      </c>
      <c r="M35" s="5">
        <f t="shared" si="3"/>
        <v>211</v>
      </c>
      <c r="N35" s="5" t="str">
        <f>VLOOKUP(C35, [1]Sheet1!A:B, 2, FALSE)</f>
        <v>Runner</v>
      </c>
    </row>
    <row r="36" spans="1:14" s="3" customFormat="1" x14ac:dyDescent="0.25">
      <c r="A36" s="5" t="s">
        <v>4</v>
      </c>
      <c r="B36" s="5" t="s">
        <v>65</v>
      </c>
      <c r="C36" s="5" t="s">
        <v>69</v>
      </c>
      <c r="D36" s="5" t="s">
        <v>29</v>
      </c>
      <c r="E36" s="5" t="s">
        <v>29</v>
      </c>
      <c r="F36" s="5">
        <v>180</v>
      </c>
      <c r="G36" s="5" t="s">
        <v>21</v>
      </c>
      <c r="H36" s="5">
        <v>1323</v>
      </c>
      <c r="I36" s="5">
        <v>1606</v>
      </c>
      <c r="J36" s="5">
        <v>14</v>
      </c>
      <c r="K36" s="5">
        <v>0</v>
      </c>
      <c r="L36" s="9">
        <f t="shared" si="2"/>
        <v>1592</v>
      </c>
      <c r="M36" s="5">
        <f t="shared" si="3"/>
        <v>-283</v>
      </c>
      <c r="N36" s="5" t="str">
        <f>VLOOKUP(C36, [1]Sheet1!A:B, 2, FALSE)</f>
        <v>Runner</v>
      </c>
    </row>
    <row r="37" spans="1:14" s="3" customFormat="1" x14ac:dyDescent="0.25">
      <c r="A37" s="5" t="s">
        <v>4</v>
      </c>
      <c r="B37" s="5" t="s">
        <v>66</v>
      </c>
      <c r="C37" s="5" t="s">
        <v>73</v>
      </c>
      <c r="D37" s="11">
        <v>46053</v>
      </c>
      <c r="E37" s="11">
        <v>46053</v>
      </c>
      <c r="F37" s="5">
        <v>115</v>
      </c>
      <c r="G37" s="5" t="s">
        <v>13</v>
      </c>
      <c r="H37" s="5">
        <v>1200</v>
      </c>
      <c r="I37" s="5">
        <v>1132</v>
      </c>
      <c r="J37" s="5">
        <v>13</v>
      </c>
      <c r="K37" s="5">
        <v>0</v>
      </c>
      <c r="L37" s="9">
        <f t="shared" si="2"/>
        <v>1119</v>
      </c>
      <c r="M37" s="5">
        <f t="shared" si="3"/>
        <v>68</v>
      </c>
      <c r="N37" s="5" t="str">
        <f>VLOOKUP(C37, [1]Sheet1!A:B, 2, FALSE)</f>
        <v>Runner</v>
      </c>
    </row>
    <row r="38" spans="1:14" s="3" customFormat="1" x14ac:dyDescent="0.25">
      <c r="A38" s="5" t="s">
        <v>4</v>
      </c>
      <c r="B38" s="5" t="s">
        <v>66</v>
      </c>
      <c r="C38" s="5" t="s">
        <v>73</v>
      </c>
      <c r="D38" s="11">
        <v>46053</v>
      </c>
      <c r="E38" s="11">
        <v>46053</v>
      </c>
      <c r="F38" s="5">
        <v>115</v>
      </c>
      <c r="G38" s="5" t="s">
        <v>21</v>
      </c>
      <c r="H38" s="5">
        <v>1200</v>
      </c>
      <c r="I38" s="5">
        <v>1215</v>
      </c>
      <c r="J38" s="5">
        <v>25</v>
      </c>
      <c r="K38" s="5">
        <v>0</v>
      </c>
      <c r="L38" s="9">
        <f t="shared" si="2"/>
        <v>1190</v>
      </c>
      <c r="M38" s="5">
        <f t="shared" si="3"/>
        <v>-15</v>
      </c>
      <c r="N38" s="5" t="str">
        <f>VLOOKUP(C38, [1]Sheet1!A:B, 2, FALSE)</f>
        <v>Runner</v>
      </c>
    </row>
    <row r="39" spans="1:14" s="3" customFormat="1" x14ac:dyDescent="0.25">
      <c r="A39" s="5" t="s">
        <v>4</v>
      </c>
      <c r="B39" s="5" t="s">
        <v>67</v>
      </c>
      <c r="C39" s="5" t="s">
        <v>74</v>
      </c>
      <c r="D39" s="11">
        <v>46047</v>
      </c>
      <c r="E39" s="11">
        <v>46047</v>
      </c>
      <c r="F39" s="5">
        <v>140</v>
      </c>
      <c r="G39" s="5" t="s">
        <v>13</v>
      </c>
      <c r="H39" s="5">
        <v>1440</v>
      </c>
      <c r="I39" s="5">
        <v>1333</v>
      </c>
      <c r="J39" s="5">
        <v>19</v>
      </c>
      <c r="K39" s="5">
        <v>0</v>
      </c>
      <c r="L39" s="9">
        <f t="shared" si="2"/>
        <v>1314</v>
      </c>
      <c r="M39" s="5">
        <f t="shared" si="3"/>
        <v>107</v>
      </c>
      <c r="N39" s="5" t="str">
        <f>VLOOKUP(C39, [1]Sheet1!A:B, 2, FALSE)</f>
        <v>Runner</v>
      </c>
    </row>
    <row r="40" spans="1:14" s="3" customFormat="1" x14ac:dyDescent="0.25">
      <c r="A40" s="5" t="s">
        <v>4</v>
      </c>
      <c r="B40" s="5" t="s">
        <v>67</v>
      </c>
      <c r="C40" s="5" t="s">
        <v>74</v>
      </c>
      <c r="D40" s="11">
        <v>46047</v>
      </c>
      <c r="E40" s="11">
        <v>46047</v>
      </c>
      <c r="F40" s="5">
        <v>140</v>
      </c>
      <c r="G40" s="5" t="s">
        <v>21</v>
      </c>
      <c r="H40" s="5">
        <v>1440</v>
      </c>
      <c r="I40" s="5">
        <v>1377</v>
      </c>
      <c r="J40" s="5">
        <v>27</v>
      </c>
      <c r="K40" s="5">
        <v>0</v>
      </c>
      <c r="L40" s="9">
        <f t="shared" si="2"/>
        <v>1350</v>
      </c>
      <c r="M40" s="5">
        <f t="shared" si="3"/>
        <v>63</v>
      </c>
      <c r="N40" s="5" t="str">
        <f>VLOOKUP(C40, [1]Sheet1!A:B, 2, FALSE)</f>
        <v>Runner</v>
      </c>
    </row>
    <row r="41" spans="1:14" s="3" customFormat="1" x14ac:dyDescent="0.25">
      <c r="A41" s="5" t="s">
        <v>4</v>
      </c>
      <c r="B41" s="5" t="s">
        <v>75</v>
      </c>
      <c r="C41" s="5" t="s">
        <v>76</v>
      </c>
      <c r="D41" s="5" t="s">
        <v>77</v>
      </c>
      <c r="E41" s="5" t="s">
        <v>77</v>
      </c>
      <c r="F41" s="5">
        <v>230</v>
      </c>
      <c r="G41" s="5" t="s">
        <v>13</v>
      </c>
      <c r="H41" s="5">
        <v>2160</v>
      </c>
      <c r="I41" s="5">
        <v>1246</v>
      </c>
      <c r="J41" s="5">
        <v>24</v>
      </c>
      <c r="K41" s="5">
        <v>0</v>
      </c>
      <c r="L41" s="9">
        <f t="shared" si="2"/>
        <v>1222</v>
      </c>
      <c r="M41" s="5">
        <f t="shared" si="3"/>
        <v>914</v>
      </c>
      <c r="N41" s="5" t="str">
        <f>VLOOKUP(C41, [1]Sheet1!A:B, 2, FALSE)</f>
        <v>Runner</v>
      </c>
    </row>
    <row r="42" spans="1:14" s="3" customFormat="1" x14ac:dyDescent="0.25">
      <c r="A42" s="5" t="s">
        <v>4</v>
      </c>
      <c r="B42" s="5" t="s">
        <v>75</v>
      </c>
      <c r="C42" s="5" t="s">
        <v>79</v>
      </c>
      <c r="D42" s="5" t="s">
        <v>42</v>
      </c>
      <c r="E42" s="5" t="s">
        <v>42</v>
      </c>
      <c r="F42" s="5">
        <v>120</v>
      </c>
      <c r="G42" s="5" t="s">
        <v>21</v>
      </c>
      <c r="H42" s="5">
        <v>1100</v>
      </c>
      <c r="I42" s="5">
        <v>1048</v>
      </c>
      <c r="J42" s="5">
        <v>12</v>
      </c>
      <c r="K42" s="5">
        <v>0</v>
      </c>
      <c r="L42" s="9">
        <f t="shared" si="2"/>
        <v>1036</v>
      </c>
      <c r="M42" s="5">
        <f t="shared" si="3"/>
        <v>52</v>
      </c>
      <c r="N42" s="5" t="e">
        <f>VLOOKUP(C42, [1]Sheet1!A:B, 2, FALSE)</f>
        <v>#N/A</v>
      </c>
    </row>
    <row r="43" spans="1:14" s="3" customFormat="1" x14ac:dyDescent="0.25">
      <c r="A43" s="5" t="s">
        <v>4</v>
      </c>
      <c r="B43" s="5" t="s">
        <v>78</v>
      </c>
      <c r="C43" s="5" t="s">
        <v>76</v>
      </c>
      <c r="D43" s="5" t="s">
        <v>77</v>
      </c>
      <c r="E43" s="5" t="s">
        <v>77</v>
      </c>
      <c r="F43" s="5">
        <v>230</v>
      </c>
      <c r="G43" s="5" t="s">
        <v>13</v>
      </c>
      <c r="H43" s="5">
        <v>2160</v>
      </c>
      <c r="I43" s="5">
        <v>860</v>
      </c>
      <c r="J43" s="5">
        <v>20</v>
      </c>
      <c r="K43" s="5">
        <v>0</v>
      </c>
      <c r="L43" s="9">
        <f t="shared" si="2"/>
        <v>840</v>
      </c>
      <c r="M43" s="5">
        <f t="shared" si="3"/>
        <v>1300</v>
      </c>
      <c r="N43" s="5" t="str">
        <f>VLOOKUP(C43, [1]Sheet1!A:B, 2, FALSE)</f>
        <v>Runner</v>
      </c>
    </row>
    <row r="44" spans="1:14" s="3" customFormat="1" x14ac:dyDescent="0.25">
      <c r="A44" s="5" t="s">
        <v>4</v>
      </c>
      <c r="B44" s="5" t="s">
        <v>78</v>
      </c>
      <c r="C44" s="5" t="s">
        <v>76</v>
      </c>
      <c r="D44" s="5" t="s">
        <v>77</v>
      </c>
      <c r="E44" s="5" t="s">
        <v>77</v>
      </c>
      <c r="F44" s="5">
        <v>230</v>
      </c>
      <c r="G44" s="5" t="s">
        <v>21</v>
      </c>
      <c r="H44" s="5">
        <v>2160</v>
      </c>
      <c r="I44" s="5">
        <v>2325</v>
      </c>
      <c r="J44" s="5">
        <v>35</v>
      </c>
      <c r="K44" s="5">
        <v>0</v>
      </c>
      <c r="L44" s="9">
        <f t="shared" si="2"/>
        <v>2290</v>
      </c>
      <c r="M44" s="5">
        <f t="shared" si="3"/>
        <v>-165</v>
      </c>
      <c r="N44" s="5" t="str">
        <f>VLOOKUP(C44, [1]Sheet1!A:B, 2, FALSE)</f>
        <v>Runner</v>
      </c>
    </row>
    <row r="45" spans="1:14" s="3" customFormat="1" x14ac:dyDescent="0.25">
      <c r="A45" s="5" t="s">
        <v>4</v>
      </c>
      <c r="B45" s="5" t="s">
        <v>80</v>
      </c>
      <c r="C45" s="5" t="s">
        <v>81</v>
      </c>
      <c r="D45" s="11">
        <v>46078</v>
      </c>
      <c r="E45" s="11">
        <v>46078</v>
      </c>
      <c r="F45" s="5">
        <v>280</v>
      </c>
      <c r="G45" s="5" t="s">
        <v>13</v>
      </c>
      <c r="H45" s="5">
        <v>3240</v>
      </c>
      <c r="I45" s="5">
        <v>1385</v>
      </c>
      <c r="J45" s="5">
        <v>35</v>
      </c>
      <c r="K45" s="5">
        <v>0</v>
      </c>
      <c r="L45" s="9">
        <f t="shared" si="2"/>
        <v>1350</v>
      </c>
      <c r="M45" s="5">
        <f t="shared" si="3"/>
        <v>1855</v>
      </c>
      <c r="N45" s="5" t="str">
        <f>VLOOKUP(C45, [1]Sheet1!A:B, 2, FALSE)</f>
        <v>Runner</v>
      </c>
    </row>
    <row r="46" spans="1:14" s="3" customFormat="1" x14ac:dyDescent="0.25">
      <c r="A46" s="5" t="s">
        <v>4</v>
      </c>
      <c r="B46" s="5" t="s">
        <v>80</v>
      </c>
      <c r="C46" s="5" t="s">
        <v>81</v>
      </c>
      <c r="D46" s="11">
        <v>46078</v>
      </c>
      <c r="E46" s="11">
        <v>46078</v>
      </c>
      <c r="F46" s="5">
        <v>280</v>
      </c>
      <c r="G46" s="5" t="s">
        <v>21</v>
      </c>
      <c r="H46" s="5">
        <v>3240</v>
      </c>
      <c r="I46" s="5">
        <v>2721</v>
      </c>
      <c r="J46" s="5">
        <v>35</v>
      </c>
      <c r="K46" s="5">
        <v>0</v>
      </c>
      <c r="L46" s="9">
        <f t="shared" si="2"/>
        <v>2686</v>
      </c>
      <c r="M46" s="5">
        <f t="shared" si="3"/>
        <v>519</v>
      </c>
      <c r="N46" s="5" t="str">
        <f>VLOOKUP(C46, [1]Sheet1!A:B, 2, FALSE)</f>
        <v>Runner</v>
      </c>
    </row>
    <row r="47" spans="1:14" s="3" customFormat="1" x14ac:dyDescent="0.25">
      <c r="A47" s="5" t="s">
        <v>3</v>
      </c>
      <c r="B47" s="5" t="s">
        <v>82</v>
      </c>
      <c r="C47" s="5" t="s">
        <v>83</v>
      </c>
      <c r="D47" s="5" t="s">
        <v>35</v>
      </c>
      <c r="E47" s="5" t="s">
        <v>35</v>
      </c>
      <c r="F47" s="5">
        <v>240</v>
      </c>
      <c r="G47" s="5" t="s">
        <v>13</v>
      </c>
      <c r="H47" s="5">
        <v>2520</v>
      </c>
      <c r="I47" s="5">
        <v>0</v>
      </c>
      <c r="J47" s="5">
        <v>0</v>
      </c>
      <c r="K47" s="5"/>
      <c r="L47" s="9">
        <f t="shared" si="2"/>
        <v>0</v>
      </c>
      <c r="M47" s="5">
        <f t="shared" si="3"/>
        <v>2520</v>
      </c>
      <c r="N47" s="5" t="str">
        <f>VLOOKUP(C47, [1]Sheet1!A:B, 2, FALSE)</f>
        <v>Runner</v>
      </c>
    </row>
    <row r="48" spans="1:14" s="3" customFormat="1" x14ac:dyDescent="0.25">
      <c r="A48" s="5" t="s">
        <v>4</v>
      </c>
      <c r="B48" s="5" t="s">
        <v>82</v>
      </c>
      <c r="C48" s="5" t="s">
        <v>83</v>
      </c>
      <c r="D48" s="5" t="s">
        <v>35</v>
      </c>
      <c r="E48" s="5" t="s">
        <v>35</v>
      </c>
      <c r="F48" s="5">
        <v>240</v>
      </c>
      <c r="G48" s="5" t="s">
        <v>21</v>
      </c>
      <c r="H48" s="5">
        <v>2520</v>
      </c>
      <c r="I48" s="5">
        <v>2080</v>
      </c>
      <c r="J48" s="5">
        <v>35</v>
      </c>
      <c r="K48" s="5">
        <v>0</v>
      </c>
      <c r="L48" s="9">
        <f t="shared" si="2"/>
        <v>2045</v>
      </c>
      <c r="M48" s="5">
        <f t="shared" si="3"/>
        <v>440</v>
      </c>
      <c r="N48" s="5" t="str">
        <f>VLOOKUP(C48, [1]Sheet1!A:B, 2, FALSE)</f>
        <v>Runner</v>
      </c>
    </row>
    <row r="49" spans="1:14" s="3" customFormat="1" x14ac:dyDescent="0.25">
      <c r="A49" s="5" t="s">
        <v>4</v>
      </c>
      <c r="B49" s="5" t="s">
        <v>84</v>
      </c>
      <c r="C49" s="5" t="s">
        <v>85</v>
      </c>
      <c r="D49" s="5" t="s">
        <v>86</v>
      </c>
      <c r="E49" s="5" t="s">
        <v>86</v>
      </c>
      <c r="F49" s="5">
        <v>140</v>
      </c>
      <c r="G49" s="5" t="s">
        <v>13</v>
      </c>
      <c r="H49" s="5">
        <v>1440</v>
      </c>
      <c r="I49" s="5">
        <v>1435</v>
      </c>
      <c r="J49" s="5">
        <v>33</v>
      </c>
      <c r="K49" s="5">
        <v>0</v>
      </c>
      <c r="L49" s="9">
        <f t="shared" si="2"/>
        <v>1402</v>
      </c>
      <c r="M49" s="5">
        <f t="shared" si="3"/>
        <v>5</v>
      </c>
      <c r="N49" s="5" t="str">
        <f>VLOOKUP(C49, [1]Sheet1!A:B, 2, FALSE)</f>
        <v>Runner</v>
      </c>
    </row>
    <row r="50" spans="1:14" s="3" customFormat="1" x14ac:dyDescent="0.25">
      <c r="A50" s="5" t="s">
        <v>4</v>
      </c>
      <c r="B50" s="5" t="s">
        <v>84</v>
      </c>
      <c r="C50" s="5" t="s">
        <v>85</v>
      </c>
      <c r="D50" s="5" t="s">
        <v>86</v>
      </c>
      <c r="E50" s="5" t="s">
        <v>86</v>
      </c>
      <c r="F50" s="5">
        <v>140</v>
      </c>
      <c r="G50" s="5" t="s">
        <v>21</v>
      </c>
      <c r="H50" s="5">
        <v>1440</v>
      </c>
      <c r="I50" s="5">
        <v>1646</v>
      </c>
      <c r="J50" s="5">
        <v>10</v>
      </c>
      <c r="K50" s="5">
        <v>0</v>
      </c>
      <c r="L50" s="9">
        <f t="shared" si="2"/>
        <v>1636</v>
      </c>
      <c r="M50" s="5">
        <f t="shared" si="3"/>
        <v>-206</v>
      </c>
      <c r="N50" s="5" t="str">
        <f>VLOOKUP(C50, [1]Sheet1!A:B, 2, FALSE)</f>
        <v>Runner</v>
      </c>
    </row>
    <row r="51" spans="1:14" s="3" customFormat="1" x14ac:dyDescent="0.25">
      <c r="A51" s="5" t="s">
        <v>4</v>
      </c>
      <c r="B51" s="5" t="s">
        <v>87</v>
      </c>
      <c r="C51" s="5" t="s">
        <v>88</v>
      </c>
      <c r="D51" s="11">
        <v>46076</v>
      </c>
      <c r="E51" s="11">
        <v>46076</v>
      </c>
      <c r="F51" s="5">
        <v>310</v>
      </c>
      <c r="G51" s="5" t="s">
        <v>13</v>
      </c>
      <c r="H51" s="5">
        <v>3000</v>
      </c>
      <c r="I51" s="5">
        <v>2732</v>
      </c>
      <c r="J51" s="5">
        <v>8</v>
      </c>
      <c r="K51" s="5">
        <v>0</v>
      </c>
      <c r="L51" s="9">
        <f t="shared" si="2"/>
        <v>2724</v>
      </c>
      <c r="M51" s="5">
        <f t="shared" si="3"/>
        <v>268</v>
      </c>
      <c r="N51" s="5" t="str">
        <f>VLOOKUP(C51, [1]Sheet1!A:B, 2, FALSE)</f>
        <v>Runner</v>
      </c>
    </row>
    <row r="52" spans="1:14" s="3" customFormat="1" x14ac:dyDescent="0.25">
      <c r="A52" s="5" t="s">
        <v>4</v>
      </c>
      <c r="B52" s="5" t="s">
        <v>87</v>
      </c>
      <c r="C52" s="5" t="s">
        <v>88</v>
      </c>
      <c r="D52" s="11">
        <v>46076</v>
      </c>
      <c r="E52" s="11">
        <v>46076</v>
      </c>
      <c r="F52" s="5">
        <v>310</v>
      </c>
      <c r="G52" s="5" t="s">
        <v>21</v>
      </c>
      <c r="H52" s="5">
        <v>3000</v>
      </c>
      <c r="I52" s="5">
        <v>3044</v>
      </c>
      <c r="J52" s="5">
        <v>6</v>
      </c>
      <c r="K52" s="5">
        <v>0</v>
      </c>
      <c r="L52" s="9">
        <f t="shared" si="2"/>
        <v>3038</v>
      </c>
      <c r="M52" s="5">
        <f t="shared" si="3"/>
        <v>-44</v>
      </c>
      <c r="N52" s="5" t="str">
        <f>VLOOKUP(C52, [1]Sheet1!A:B, 2, FALSE)</f>
        <v>Runner</v>
      </c>
    </row>
    <row r="53" spans="1:14" s="3" customFormat="1" x14ac:dyDescent="0.25">
      <c r="A53" s="5" t="s">
        <v>4</v>
      </c>
      <c r="B53" s="5" t="s">
        <v>89</v>
      </c>
      <c r="C53" s="5" t="s">
        <v>88</v>
      </c>
      <c r="D53" s="11">
        <v>46076</v>
      </c>
      <c r="E53" s="11">
        <v>46076</v>
      </c>
      <c r="F53" s="5">
        <v>310</v>
      </c>
      <c r="G53" s="5" t="s">
        <v>13</v>
      </c>
      <c r="H53" s="5">
        <v>3000</v>
      </c>
      <c r="I53" s="5">
        <v>2264</v>
      </c>
      <c r="J53" s="5">
        <v>14</v>
      </c>
      <c r="K53" s="5">
        <v>0</v>
      </c>
      <c r="L53" s="9">
        <f t="shared" si="2"/>
        <v>2250</v>
      </c>
      <c r="M53" s="5">
        <f t="shared" si="3"/>
        <v>736</v>
      </c>
      <c r="N53" s="5" t="str">
        <f>VLOOKUP(C53, [1]Sheet1!A:B, 2, FALSE)</f>
        <v>Runner</v>
      </c>
    </row>
    <row r="54" spans="1:14" s="3" customFormat="1" x14ac:dyDescent="0.25">
      <c r="A54" s="5" t="s">
        <v>4</v>
      </c>
      <c r="B54" s="5" t="s">
        <v>89</v>
      </c>
      <c r="C54" s="5" t="s">
        <v>92</v>
      </c>
      <c r="D54" s="5" t="s">
        <v>46</v>
      </c>
      <c r="E54" s="5" t="s">
        <v>46</v>
      </c>
      <c r="F54" s="5">
        <v>360</v>
      </c>
      <c r="G54" s="5" t="s">
        <v>13</v>
      </c>
      <c r="H54" s="5">
        <v>3000</v>
      </c>
      <c r="I54" s="5">
        <v>146</v>
      </c>
      <c r="J54" s="5">
        <v>4</v>
      </c>
      <c r="K54" s="5">
        <v>0</v>
      </c>
      <c r="L54" s="9">
        <f t="shared" si="2"/>
        <v>142</v>
      </c>
      <c r="M54" s="5">
        <f t="shared" si="3"/>
        <v>2854</v>
      </c>
      <c r="N54" s="5" t="str">
        <f>VLOOKUP(C54, [1]Sheet1!A:B, 2, FALSE)</f>
        <v>Runner</v>
      </c>
    </row>
    <row r="55" spans="1:14" s="3" customFormat="1" x14ac:dyDescent="0.25">
      <c r="A55" s="5" t="s">
        <v>4</v>
      </c>
      <c r="B55" s="5" t="s">
        <v>89</v>
      </c>
      <c r="C55" s="5" t="s">
        <v>92</v>
      </c>
      <c r="D55" s="5" t="s">
        <v>46</v>
      </c>
      <c r="E55" s="5" t="s">
        <v>46</v>
      </c>
      <c r="F55" s="5">
        <v>360</v>
      </c>
      <c r="G55" s="5" t="s">
        <v>21</v>
      </c>
      <c r="H55" s="5">
        <v>3000</v>
      </c>
      <c r="I55" s="5">
        <v>2118</v>
      </c>
      <c r="J55" s="5">
        <v>2</v>
      </c>
      <c r="K55" s="5">
        <v>0</v>
      </c>
      <c r="L55" s="9">
        <f t="shared" si="2"/>
        <v>2116</v>
      </c>
      <c r="M55" s="5">
        <f t="shared" si="3"/>
        <v>882</v>
      </c>
      <c r="N55" s="5" t="str">
        <f>VLOOKUP(C55, [1]Sheet1!A:B, 2, FALSE)</f>
        <v>Runner</v>
      </c>
    </row>
    <row r="56" spans="1:14" s="3" customFormat="1" x14ac:dyDescent="0.25">
      <c r="A56" s="5" t="s">
        <v>4</v>
      </c>
      <c r="B56" s="5" t="s">
        <v>90</v>
      </c>
      <c r="C56" s="5" t="s">
        <v>93</v>
      </c>
      <c r="D56" s="5" t="s">
        <v>19</v>
      </c>
      <c r="E56" s="5" t="s">
        <v>19</v>
      </c>
      <c r="F56" s="5">
        <v>200</v>
      </c>
      <c r="G56" s="5" t="s">
        <v>13</v>
      </c>
      <c r="H56" s="5">
        <v>2100</v>
      </c>
      <c r="I56" s="5">
        <v>1816</v>
      </c>
      <c r="J56" s="5">
        <v>40</v>
      </c>
      <c r="K56" s="5">
        <v>0</v>
      </c>
      <c r="L56" s="9">
        <f t="shared" si="2"/>
        <v>1776</v>
      </c>
      <c r="M56" s="5">
        <f t="shared" si="3"/>
        <v>284</v>
      </c>
      <c r="N56" s="5" t="str">
        <f>VLOOKUP(C56, [1]Sheet1!A:B, 2, FALSE)</f>
        <v>Runner</v>
      </c>
    </row>
    <row r="57" spans="1:14" s="3" customFormat="1" x14ac:dyDescent="0.25">
      <c r="A57" s="5" t="s">
        <v>4</v>
      </c>
      <c r="B57" s="5" t="s">
        <v>90</v>
      </c>
      <c r="C57" s="5" t="s">
        <v>93</v>
      </c>
      <c r="D57" s="5" t="s">
        <v>19</v>
      </c>
      <c r="E57" s="5" t="s">
        <v>19</v>
      </c>
      <c r="F57" s="5">
        <v>200</v>
      </c>
      <c r="G57" s="5" t="s">
        <v>21</v>
      </c>
      <c r="H57" s="5">
        <v>2100</v>
      </c>
      <c r="I57" s="5">
        <v>1998</v>
      </c>
      <c r="J57" s="5">
        <v>66</v>
      </c>
      <c r="K57" s="5">
        <v>0</v>
      </c>
      <c r="L57" s="9">
        <f t="shared" si="2"/>
        <v>1932</v>
      </c>
      <c r="M57" s="5">
        <f t="shared" si="3"/>
        <v>102</v>
      </c>
      <c r="N57" s="5" t="str">
        <f>VLOOKUP(C57, [1]Sheet1!A:B, 2, FALSE)</f>
        <v>Runner</v>
      </c>
    </row>
    <row r="58" spans="1:14" s="3" customFormat="1" x14ac:dyDescent="0.25">
      <c r="A58" s="5" t="s">
        <v>4</v>
      </c>
      <c r="B58" s="5" t="s">
        <v>91</v>
      </c>
      <c r="C58" s="5" t="s">
        <v>95</v>
      </c>
      <c r="D58" s="5" t="s">
        <v>96</v>
      </c>
      <c r="E58" s="5" t="s">
        <v>29</v>
      </c>
      <c r="F58" s="5">
        <v>200</v>
      </c>
      <c r="G58" s="5" t="s">
        <v>13</v>
      </c>
      <c r="H58" s="5">
        <v>2000</v>
      </c>
      <c r="I58" s="5">
        <v>1763</v>
      </c>
      <c r="J58" s="5">
        <v>37</v>
      </c>
      <c r="K58" s="5">
        <v>0</v>
      </c>
      <c r="L58" s="9">
        <f t="shared" si="2"/>
        <v>1726</v>
      </c>
      <c r="M58" s="5">
        <f t="shared" si="3"/>
        <v>237</v>
      </c>
      <c r="N58" s="5" t="e">
        <f>VLOOKUP(C58, [1]Sheet1!A:B, 2, FALSE)</f>
        <v>#N/A</v>
      </c>
    </row>
    <row r="59" spans="1:14" s="3" customFormat="1" x14ac:dyDescent="0.25">
      <c r="A59" s="5" t="s">
        <v>4</v>
      </c>
      <c r="B59" s="5" t="s">
        <v>91</v>
      </c>
      <c r="C59" s="5" t="s">
        <v>95</v>
      </c>
      <c r="D59" s="5" t="s">
        <v>96</v>
      </c>
      <c r="E59" s="5" t="s">
        <v>29</v>
      </c>
      <c r="F59" s="5">
        <v>200</v>
      </c>
      <c r="G59" s="5" t="s">
        <v>21</v>
      </c>
      <c r="H59" s="5">
        <v>1800</v>
      </c>
      <c r="I59" s="5">
        <v>1886</v>
      </c>
      <c r="J59" s="5">
        <v>11</v>
      </c>
      <c r="K59" s="5">
        <v>0</v>
      </c>
      <c r="L59" s="9">
        <f t="shared" si="2"/>
        <v>1875</v>
      </c>
      <c r="M59" s="5">
        <f t="shared" si="3"/>
        <v>-86</v>
      </c>
      <c r="N59" s="5" t="e">
        <f>VLOOKUP(C59, [1]Sheet1!A:B, 2, FALSE)</f>
        <v>#N/A</v>
      </c>
    </row>
    <row r="60" spans="1:14" s="3" customFormat="1" x14ac:dyDescent="0.25">
      <c r="A60" s="5" t="s">
        <v>4</v>
      </c>
      <c r="B60" s="5" t="s">
        <v>94</v>
      </c>
      <c r="C60" s="5" t="s">
        <v>100</v>
      </c>
      <c r="D60" s="5" t="s">
        <v>101</v>
      </c>
      <c r="E60" s="5" t="s">
        <v>101</v>
      </c>
      <c r="F60" s="5">
        <v>130</v>
      </c>
      <c r="G60" s="5" t="s">
        <v>13</v>
      </c>
      <c r="H60" s="5">
        <v>1008</v>
      </c>
      <c r="I60" s="5">
        <v>724</v>
      </c>
      <c r="J60" s="5">
        <v>4</v>
      </c>
      <c r="K60" s="5">
        <v>0</v>
      </c>
      <c r="L60" s="9">
        <f t="shared" si="2"/>
        <v>720</v>
      </c>
      <c r="M60" s="5">
        <f t="shared" si="3"/>
        <v>284</v>
      </c>
      <c r="N60" s="5" t="e">
        <f>VLOOKUP(C60, [1]Sheet1!A:B, 2, FALSE)</f>
        <v>#N/A</v>
      </c>
    </row>
    <row r="61" spans="1:14" s="3" customFormat="1" x14ac:dyDescent="0.25">
      <c r="A61" s="5" t="s">
        <v>4</v>
      </c>
      <c r="B61" s="5" t="s">
        <v>94</v>
      </c>
      <c r="C61" s="5" t="s">
        <v>100</v>
      </c>
      <c r="D61" s="5" t="s">
        <v>101</v>
      </c>
      <c r="E61" s="5" t="s">
        <v>101</v>
      </c>
      <c r="F61" s="5">
        <v>130</v>
      </c>
      <c r="G61" s="5" t="s">
        <v>13</v>
      </c>
      <c r="H61" s="5">
        <v>0</v>
      </c>
      <c r="I61" s="5">
        <v>113</v>
      </c>
      <c r="J61" s="5">
        <v>2</v>
      </c>
      <c r="K61" s="5">
        <v>0</v>
      </c>
      <c r="L61" s="9">
        <f t="shared" si="2"/>
        <v>111</v>
      </c>
      <c r="M61" s="5">
        <f t="shared" si="3"/>
        <v>-113</v>
      </c>
      <c r="N61" s="5" t="e">
        <f>VLOOKUP(C61, [1]Sheet1!A:B, 2, FALSE)</f>
        <v>#N/A</v>
      </c>
    </row>
    <row r="62" spans="1:14" s="3" customFormat="1" x14ac:dyDescent="0.25">
      <c r="A62" s="5" t="s">
        <v>4</v>
      </c>
      <c r="B62" s="5" t="s">
        <v>94</v>
      </c>
      <c r="C62" s="5" t="s">
        <v>100</v>
      </c>
      <c r="D62" s="5" t="s">
        <v>29</v>
      </c>
      <c r="E62" s="5" t="s">
        <v>99</v>
      </c>
      <c r="F62" s="5">
        <v>180</v>
      </c>
      <c r="G62" s="5" t="s">
        <v>21</v>
      </c>
      <c r="H62" s="5">
        <v>480</v>
      </c>
      <c r="I62" s="5">
        <v>40</v>
      </c>
      <c r="J62" s="5">
        <v>16</v>
      </c>
      <c r="K62" s="5">
        <v>0</v>
      </c>
      <c r="L62" s="9">
        <f t="shared" si="2"/>
        <v>24</v>
      </c>
      <c r="M62" s="5">
        <f t="shared" si="3"/>
        <v>440</v>
      </c>
      <c r="N62" s="5" t="e">
        <f>VLOOKUP(C62, [1]Sheet1!A:B, 2, FALSE)</f>
        <v>#N/A</v>
      </c>
    </row>
    <row r="63" spans="1:14" s="3" customFormat="1" x14ac:dyDescent="0.25">
      <c r="A63" s="5" t="s">
        <v>4</v>
      </c>
      <c r="B63" s="5" t="s">
        <v>94</v>
      </c>
      <c r="C63" s="5" t="s">
        <v>97</v>
      </c>
      <c r="D63" s="5" t="s">
        <v>45</v>
      </c>
      <c r="E63" s="5" t="s">
        <v>98</v>
      </c>
      <c r="F63" s="5">
        <v>90</v>
      </c>
      <c r="G63" s="5" t="s">
        <v>21</v>
      </c>
      <c r="H63" s="5">
        <v>800</v>
      </c>
      <c r="I63" s="5">
        <v>648</v>
      </c>
      <c r="J63" s="5">
        <v>4</v>
      </c>
      <c r="K63" s="5">
        <v>0</v>
      </c>
      <c r="L63" s="9">
        <f t="shared" si="2"/>
        <v>644</v>
      </c>
      <c r="M63" s="5">
        <f t="shared" si="3"/>
        <v>152</v>
      </c>
      <c r="N63" s="5" t="str">
        <f>VLOOKUP(C63, [1]Sheet1!A:B, 2, FALSE)</f>
        <v>Repeater</v>
      </c>
    </row>
    <row r="64" spans="1:14" s="3" customFormat="1" x14ac:dyDescent="0.25">
      <c r="A64" s="5" t="s">
        <v>4</v>
      </c>
      <c r="B64" s="5" t="s">
        <v>102</v>
      </c>
      <c r="C64" s="5" t="s">
        <v>73</v>
      </c>
      <c r="D64" s="11">
        <v>46046</v>
      </c>
      <c r="E64" s="11">
        <v>46046</v>
      </c>
      <c r="F64" s="5">
        <v>150</v>
      </c>
      <c r="G64" s="5" t="s">
        <v>13</v>
      </c>
      <c r="H64" s="5">
        <v>800</v>
      </c>
      <c r="I64" s="5">
        <v>1340</v>
      </c>
      <c r="J64" s="5">
        <v>10</v>
      </c>
      <c r="K64" s="5">
        <v>0</v>
      </c>
      <c r="L64" s="9">
        <f t="shared" si="2"/>
        <v>1330</v>
      </c>
      <c r="M64" s="5">
        <f t="shared" si="3"/>
        <v>-540</v>
      </c>
      <c r="N64" s="5" t="str">
        <f>VLOOKUP(C64, [1]Sheet1!A:B, 2, FALSE)</f>
        <v>Runner</v>
      </c>
    </row>
    <row r="65" spans="1:14" s="3" customFormat="1" x14ac:dyDescent="0.25">
      <c r="A65" s="5" t="s">
        <v>4</v>
      </c>
      <c r="B65" s="5" t="s">
        <v>102</v>
      </c>
      <c r="C65" s="5" t="s">
        <v>73</v>
      </c>
      <c r="D65" s="11">
        <v>46046</v>
      </c>
      <c r="E65" s="11">
        <v>46046</v>
      </c>
      <c r="F65" s="5">
        <v>150</v>
      </c>
      <c r="G65" s="5" t="s">
        <v>21</v>
      </c>
      <c r="H65" s="5">
        <v>100</v>
      </c>
      <c r="I65" s="5">
        <v>945</v>
      </c>
      <c r="J65" s="5">
        <v>20</v>
      </c>
      <c r="K65" s="5">
        <v>0</v>
      </c>
      <c r="L65" s="9">
        <f t="shared" si="2"/>
        <v>925</v>
      </c>
      <c r="M65" s="5">
        <f t="shared" si="3"/>
        <v>-845</v>
      </c>
      <c r="N65" s="5" t="str">
        <f>VLOOKUP(C65, [1]Sheet1!A:B, 2, FALSE)</f>
        <v>Runner</v>
      </c>
    </row>
    <row r="66" spans="1:14" s="3" customFormat="1" x14ac:dyDescent="0.25">
      <c r="A66" s="5" t="s">
        <v>4</v>
      </c>
      <c r="B66" s="5" t="s">
        <v>102</v>
      </c>
      <c r="C66" s="5" t="s">
        <v>103</v>
      </c>
      <c r="D66" s="5" t="s">
        <v>105</v>
      </c>
      <c r="E66" s="5" t="s">
        <v>105</v>
      </c>
      <c r="F66" s="5">
        <v>70</v>
      </c>
      <c r="G66" s="5" t="s">
        <v>21</v>
      </c>
      <c r="H66" s="5">
        <v>240</v>
      </c>
      <c r="I66" s="5">
        <v>249</v>
      </c>
      <c r="J66" s="5">
        <v>7</v>
      </c>
      <c r="K66" s="5">
        <v>0</v>
      </c>
      <c r="L66" s="9">
        <f t="shared" ref="L66:L67" si="4">I66 - (J66+K66)</f>
        <v>242</v>
      </c>
      <c r="M66" s="5">
        <f t="shared" si="3"/>
        <v>-9</v>
      </c>
      <c r="N66" s="5" t="str">
        <f>VLOOKUP(C66, [1]Sheet1!A:B, 2, FALSE)</f>
        <v>Repeater</v>
      </c>
    </row>
    <row r="67" spans="1:14" s="3" customFormat="1" x14ac:dyDescent="0.25">
      <c r="A67" s="5" t="s">
        <v>4</v>
      </c>
      <c r="B67" s="5" t="s">
        <v>106</v>
      </c>
      <c r="C67" s="5" t="s">
        <v>73</v>
      </c>
      <c r="D67" s="11">
        <v>46053</v>
      </c>
      <c r="E67" s="11">
        <v>46053</v>
      </c>
      <c r="F67" s="5">
        <v>115</v>
      </c>
      <c r="G67" s="5" t="s">
        <v>13</v>
      </c>
      <c r="H67" s="5">
        <v>1200</v>
      </c>
      <c r="I67" s="5">
        <v>816</v>
      </c>
      <c r="J67" s="5">
        <v>20</v>
      </c>
      <c r="K67" s="5">
        <v>32</v>
      </c>
      <c r="L67" s="9">
        <f t="shared" si="4"/>
        <v>764</v>
      </c>
      <c r="M67" s="5">
        <f t="shared" si="3"/>
        <v>384</v>
      </c>
      <c r="N67" s="5" t="str">
        <f>VLOOKUP(C67, [1]Sheet1!A:B, 2, FALSE)</f>
        <v>Runner</v>
      </c>
    </row>
    <row r="68" spans="1:14" s="3" customFormat="1" x14ac:dyDescent="0.25">
      <c r="A68" s="5" t="s">
        <v>4</v>
      </c>
      <c r="B68" s="5" t="s">
        <v>106</v>
      </c>
      <c r="C68" s="5">
        <v>0</v>
      </c>
      <c r="D68" s="11">
        <v>0</v>
      </c>
      <c r="E68" s="11">
        <v>0</v>
      </c>
      <c r="F68" s="5"/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9">
        <v>0</v>
      </c>
      <c r="M68" s="5">
        <v>0</v>
      </c>
      <c r="N68" s="5" t="e">
        <f>VLOOKUP(C68, [1]Sheet1!A:B, 2, FALSE)</f>
        <v>#N/A</v>
      </c>
    </row>
    <row r="69" spans="1:14" s="3" customFormat="1" x14ac:dyDescent="0.25">
      <c r="A69" s="5" t="s">
        <v>4</v>
      </c>
      <c r="B69" s="5" t="s">
        <v>102</v>
      </c>
      <c r="C69" s="5" t="s">
        <v>73</v>
      </c>
      <c r="D69" s="11">
        <v>46046</v>
      </c>
      <c r="E69" s="11">
        <v>46046</v>
      </c>
      <c r="F69" s="5">
        <v>150</v>
      </c>
      <c r="G69" s="5" t="s">
        <v>13</v>
      </c>
      <c r="H69" s="5">
        <v>800</v>
      </c>
      <c r="I69" s="5">
        <v>1340</v>
      </c>
      <c r="J69" s="5">
        <v>10</v>
      </c>
      <c r="K69" s="5">
        <v>0</v>
      </c>
      <c r="L69" s="9">
        <f t="shared" ref="L69:L79" si="5">I69 - (J69+K69)</f>
        <v>1330</v>
      </c>
      <c r="M69" s="5">
        <f t="shared" ref="M69:M79" si="6">H69-I69</f>
        <v>-540</v>
      </c>
      <c r="N69" s="5" t="str">
        <f>VLOOKUP(C69, [1]Sheet1!A:B, 2, FALSE)</f>
        <v>Runner</v>
      </c>
    </row>
    <row r="70" spans="1:14" s="3" customFormat="1" x14ac:dyDescent="0.25">
      <c r="A70" s="5" t="s">
        <v>4</v>
      </c>
      <c r="B70" s="5" t="s">
        <v>102</v>
      </c>
      <c r="C70" s="5" t="s">
        <v>73</v>
      </c>
      <c r="D70" s="11">
        <v>46046</v>
      </c>
      <c r="E70" s="11">
        <v>46046</v>
      </c>
      <c r="F70" s="5">
        <v>150</v>
      </c>
      <c r="G70" s="5" t="s">
        <v>21</v>
      </c>
      <c r="H70" s="5">
        <v>100</v>
      </c>
      <c r="I70" s="5">
        <v>945</v>
      </c>
      <c r="J70" s="5">
        <v>20</v>
      </c>
      <c r="K70" s="5">
        <v>0</v>
      </c>
      <c r="L70" s="9">
        <f t="shared" si="5"/>
        <v>925</v>
      </c>
      <c r="M70" s="5">
        <f t="shared" si="6"/>
        <v>-845</v>
      </c>
      <c r="N70" s="5" t="str">
        <f>VLOOKUP(C70, [1]Sheet1!A:B, 2, FALSE)</f>
        <v>Runner</v>
      </c>
    </row>
    <row r="71" spans="1:14" s="3" customFormat="1" x14ac:dyDescent="0.25">
      <c r="A71" s="5" t="s">
        <v>4</v>
      </c>
      <c r="B71" s="5" t="s">
        <v>102</v>
      </c>
      <c r="C71" s="5" t="s">
        <v>103</v>
      </c>
      <c r="D71" s="5" t="s">
        <v>105</v>
      </c>
      <c r="E71" s="5" t="s">
        <v>105</v>
      </c>
      <c r="F71" s="5">
        <v>70</v>
      </c>
      <c r="G71" s="5" t="s">
        <v>21</v>
      </c>
      <c r="H71" s="5">
        <v>240</v>
      </c>
      <c r="I71" s="5">
        <v>249</v>
      </c>
      <c r="J71" s="5">
        <v>7</v>
      </c>
      <c r="K71" s="5">
        <v>0</v>
      </c>
      <c r="L71" s="9">
        <f t="shared" si="5"/>
        <v>242</v>
      </c>
      <c r="M71" s="5">
        <f t="shared" si="6"/>
        <v>-9</v>
      </c>
      <c r="N71" s="5" t="str">
        <f>VLOOKUP(C71, [1]Sheet1!A:B, 2, FALSE)</f>
        <v>Repeater</v>
      </c>
    </row>
    <row r="72" spans="1:14" s="3" customFormat="1" x14ac:dyDescent="0.25">
      <c r="A72" s="5" t="s">
        <v>5</v>
      </c>
      <c r="B72" s="5" t="s">
        <v>6</v>
      </c>
      <c r="C72" s="5" t="s">
        <v>7</v>
      </c>
      <c r="D72" s="5" t="s">
        <v>20</v>
      </c>
      <c r="E72" s="5" t="s">
        <v>20</v>
      </c>
      <c r="F72" s="5">
        <v>90</v>
      </c>
      <c r="G72" s="5" t="s">
        <v>13</v>
      </c>
      <c r="H72" s="5">
        <v>540</v>
      </c>
      <c r="I72" s="5">
        <v>1019</v>
      </c>
      <c r="J72" s="5">
        <v>6</v>
      </c>
      <c r="K72" s="5">
        <v>0</v>
      </c>
      <c r="L72" s="9">
        <f t="shared" si="5"/>
        <v>1013</v>
      </c>
      <c r="M72" s="5">
        <f t="shared" si="6"/>
        <v>-479</v>
      </c>
      <c r="N72" s="5" t="str">
        <f>VLOOKUP(C72, [1]Sheet1!A:B, 2, FALSE)</f>
        <v>Repeater</v>
      </c>
    </row>
    <row r="73" spans="1:14" s="3" customFormat="1" x14ac:dyDescent="0.25">
      <c r="A73" s="5" t="s">
        <v>5</v>
      </c>
      <c r="B73" s="5" t="s">
        <v>6</v>
      </c>
      <c r="C73" s="5" t="s">
        <v>112</v>
      </c>
      <c r="D73" s="5" t="s">
        <v>20</v>
      </c>
      <c r="E73" s="5" t="s">
        <v>20</v>
      </c>
      <c r="F73" s="5">
        <v>90</v>
      </c>
      <c r="G73" s="5" t="s">
        <v>21</v>
      </c>
      <c r="H73" s="5">
        <v>640</v>
      </c>
      <c r="I73" s="5">
        <v>162</v>
      </c>
      <c r="J73" s="5">
        <v>38</v>
      </c>
      <c r="K73" s="5">
        <v>0</v>
      </c>
      <c r="L73" s="9">
        <f t="shared" si="5"/>
        <v>124</v>
      </c>
      <c r="M73" s="5">
        <f t="shared" si="6"/>
        <v>478</v>
      </c>
      <c r="N73" s="5" t="str">
        <f>VLOOKUP(C73, [1]Sheet1!A:B, 2, FALSE)</f>
        <v>Repeater</v>
      </c>
    </row>
    <row r="74" spans="1:14" s="3" customFormat="1" x14ac:dyDescent="0.25">
      <c r="A74" s="5" t="s">
        <v>5</v>
      </c>
      <c r="B74" s="5" t="s">
        <v>6</v>
      </c>
      <c r="C74" s="5" t="s">
        <v>113</v>
      </c>
      <c r="D74" s="5" t="s">
        <v>107</v>
      </c>
      <c r="E74" s="5" t="s">
        <v>107</v>
      </c>
      <c r="F74" s="5">
        <v>140</v>
      </c>
      <c r="G74" s="5" t="s">
        <v>21</v>
      </c>
      <c r="H74" s="5">
        <v>768</v>
      </c>
      <c r="I74" s="5">
        <v>656</v>
      </c>
      <c r="J74" s="5">
        <v>40</v>
      </c>
      <c r="K74" s="5">
        <v>0</v>
      </c>
      <c r="L74" s="9">
        <f t="shared" si="5"/>
        <v>616</v>
      </c>
      <c r="M74" s="5">
        <f t="shared" si="6"/>
        <v>112</v>
      </c>
      <c r="N74" s="5" t="e">
        <f>VLOOKUP(C74, [1]Sheet1!A:B, 2, FALSE)</f>
        <v>#N/A</v>
      </c>
    </row>
    <row r="75" spans="1:14" s="3" customFormat="1" x14ac:dyDescent="0.25">
      <c r="A75" s="5" t="s">
        <v>5</v>
      </c>
      <c r="B75" s="5" t="s">
        <v>22</v>
      </c>
      <c r="C75" s="5" t="s">
        <v>25</v>
      </c>
      <c r="D75" s="5" t="s">
        <v>99</v>
      </c>
      <c r="E75" s="5" t="s">
        <v>99</v>
      </c>
      <c r="F75" s="5">
        <v>140</v>
      </c>
      <c r="G75" s="5" t="s">
        <v>13</v>
      </c>
      <c r="H75" s="5">
        <v>240</v>
      </c>
      <c r="I75" s="5">
        <v>412</v>
      </c>
      <c r="J75" s="5">
        <v>20</v>
      </c>
      <c r="K75" s="5">
        <v>10</v>
      </c>
      <c r="L75" s="9">
        <f t="shared" si="5"/>
        <v>382</v>
      </c>
      <c r="M75" s="5">
        <f t="shared" si="6"/>
        <v>-172</v>
      </c>
      <c r="N75" s="5" t="str">
        <f>VLOOKUP(C75, [1]Sheet1!A:B, 2, FALSE)</f>
        <v>Stranger</v>
      </c>
    </row>
    <row r="76" spans="1:14" s="3" customFormat="1" x14ac:dyDescent="0.25">
      <c r="A76" s="5" t="s">
        <v>5</v>
      </c>
      <c r="B76" s="5" t="s">
        <v>22</v>
      </c>
      <c r="C76" s="5" t="s">
        <v>114</v>
      </c>
      <c r="D76" s="5" t="s">
        <v>115</v>
      </c>
      <c r="E76" s="5" t="s">
        <v>115</v>
      </c>
      <c r="F76" s="5">
        <v>400</v>
      </c>
      <c r="G76" s="5" t="s">
        <v>13</v>
      </c>
      <c r="H76" s="5">
        <v>3087</v>
      </c>
      <c r="I76" s="5">
        <v>2803</v>
      </c>
      <c r="J76" s="5">
        <v>61</v>
      </c>
      <c r="K76" s="5">
        <v>0</v>
      </c>
      <c r="L76" s="9">
        <f t="shared" si="5"/>
        <v>2742</v>
      </c>
      <c r="M76" s="5">
        <f t="shared" si="6"/>
        <v>284</v>
      </c>
      <c r="N76" s="5" t="str">
        <f>VLOOKUP(C76, [1]Sheet1!A:B, 2, FALSE)</f>
        <v>Repeater</v>
      </c>
    </row>
    <row r="77" spans="1:14" s="3" customFormat="1" x14ac:dyDescent="0.25">
      <c r="A77" s="5" t="s">
        <v>5</v>
      </c>
      <c r="B77" s="5" t="s">
        <v>22</v>
      </c>
      <c r="C77" s="5" t="s">
        <v>114</v>
      </c>
      <c r="D77" s="5" t="s">
        <v>115</v>
      </c>
      <c r="E77" s="5" t="s">
        <v>115</v>
      </c>
      <c r="F77" s="5">
        <v>400</v>
      </c>
      <c r="G77" s="5" t="s">
        <v>21</v>
      </c>
      <c r="H77" s="5">
        <v>3087</v>
      </c>
      <c r="I77" s="5">
        <v>986</v>
      </c>
      <c r="J77" s="5">
        <v>14</v>
      </c>
      <c r="K77" s="5">
        <v>0</v>
      </c>
      <c r="L77" s="9">
        <f t="shared" si="5"/>
        <v>972</v>
      </c>
      <c r="M77" s="5">
        <f t="shared" si="6"/>
        <v>2101</v>
      </c>
      <c r="N77" s="5" t="str">
        <f>VLOOKUP(C77, [1]Sheet1!A:B, 2, FALSE)</f>
        <v>Repeater</v>
      </c>
    </row>
    <row r="78" spans="1:14" s="3" customFormat="1" x14ac:dyDescent="0.25">
      <c r="A78" s="5" t="s">
        <v>5</v>
      </c>
      <c r="B78" s="5" t="s">
        <v>22</v>
      </c>
      <c r="C78" s="5" t="s">
        <v>18</v>
      </c>
      <c r="D78" s="5" t="s">
        <v>19</v>
      </c>
      <c r="E78" s="5" t="s">
        <v>19</v>
      </c>
      <c r="F78" s="5">
        <v>200</v>
      </c>
      <c r="G78" s="5" t="s">
        <v>21</v>
      </c>
      <c r="H78" s="5">
        <v>1764</v>
      </c>
      <c r="I78" s="5">
        <v>1530</v>
      </c>
      <c r="J78" s="5">
        <v>34</v>
      </c>
      <c r="K78" s="5">
        <v>0</v>
      </c>
      <c r="L78" s="9">
        <f t="shared" si="5"/>
        <v>1496</v>
      </c>
      <c r="M78" s="5">
        <f t="shared" si="6"/>
        <v>234</v>
      </c>
      <c r="N78" s="5" t="str">
        <f>VLOOKUP(C78, [1]Sheet1!A:B, 2, FALSE)</f>
        <v>Runner</v>
      </c>
    </row>
    <row r="79" spans="1:14" s="3" customFormat="1" x14ac:dyDescent="0.25">
      <c r="A79" s="5" t="s">
        <v>5</v>
      </c>
      <c r="B79" s="5" t="s">
        <v>23</v>
      </c>
      <c r="C79" s="5" t="s">
        <v>27</v>
      </c>
      <c r="D79" s="5" t="s">
        <v>17</v>
      </c>
      <c r="E79" s="5" t="s">
        <v>17</v>
      </c>
      <c r="F79" s="5">
        <v>100</v>
      </c>
      <c r="G79" s="5" t="s">
        <v>13</v>
      </c>
      <c r="H79" s="5">
        <v>1008</v>
      </c>
      <c r="I79" s="5">
        <v>0</v>
      </c>
      <c r="J79" s="5">
        <v>0</v>
      </c>
      <c r="K79" s="5">
        <v>0</v>
      </c>
      <c r="L79" s="9">
        <f t="shared" si="5"/>
        <v>0</v>
      </c>
      <c r="M79" s="5">
        <f t="shared" si="6"/>
        <v>1008</v>
      </c>
      <c r="N79" s="5" t="str">
        <f>VLOOKUP(C79, [1]Sheet1!A:B, 2, FALSE)</f>
        <v>Stranger</v>
      </c>
    </row>
    <row r="80" spans="1:14" s="3" customFormat="1" x14ac:dyDescent="0.25">
      <c r="A80" s="5" t="s">
        <v>5</v>
      </c>
      <c r="B80" s="5" t="s">
        <v>23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9">
        <v>0</v>
      </c>
      <c r="M80" s="5">
        <v>0</v>
      </c>
      <c r="N80" s="5" t="e">
        <f>VLOOKUP(C80, [1]Sheet1!A:B, 2, FALSE)</f>
        <v>#N/A</v>
      </c>
    </row>
    <row r="81" spans="1:14" s="3" customFormat="1" x14ac:dyDescent="0.25">
      <c r="A81" s="5" t="s">
        <v>5</v>
      </c>
      <c r="B81" s="5" t="s">
        <v>24</v>
      </c>
      <c r="C81" s="5" t="s">
        <v>30</v>
      </c>
      <c r="D81" s="11">
        <v>46046</v>
      </c>
      <c r="E81" s="5" t="s">
        <v>36</v>
      </c>
      <c r="F81" s="5">
        <v>150</v>
      </c>
      <c r="G81" s="5" t="s">
        <v>13</v>
      </c>
      <c r="H81" s="5">
        <v>960</v>
      </c>
      <c r="I81" s="5">
        <v>750</v>
      </c>
      <c r="J81" s="5">
        <v>35</v>
      </c>
      <c r="K81" s="5">
        <v>10</v>
      </c>
      <c r="L81" s="9">
        <f t="shared" ref="L81:L110" si="7">I81 - (J81+K81)</f>
        <v>705</v>
      </c>
      <c r="M81" s="5">
        <f t="shared" ref="M81:M110" si="8">H81-I81</f>
        <v>210</v>
      </c>
      <c r="N81" s="5" t="str">
        <f>VLOOKUP(C81, [1]Sheet1!A:B, 2, FALSE)</f>
        <v>Runner</v>
      </c>
    </row>
    <row r="82" spans="1:14" s="3" customFormat="1" x14ac:dyDescent="0.25">
      <c r="A82" s="5" t="s">
        <v>5</v>
      </c>
      <c r="B82" s="5" t="s">
        <v>24</v>
      </c>
      <c r="C82" s="5" t="s">
        <v>30</v>
      </c>
      <c r="D82" s="11">
        <v>46046</v>
      </c>
      <c r="E82" s="5" t="s">
        <v>36</v>
      </c>
      <c r="F82" s="5">
        <v>150</v>
      </c>
      <c r="G82" s="5" t="s">
        <v>21</v>
      </c>
      <c r="H82" s="5">
        <v>1200</v>
      </c>
      <c r="I82" s="5">
        <v>1187</v>
      </c>
      <c r="J82" s="5">
        <v>33</v>
      </c>
      <c r="K82" s="5">
        <v>0</v>
      </c>
      <c r="L82" s="9">
        <f t="shared" si="7"/>
        <v>1154</v>
      </c>
      <c r="M82" s="5">
        <f t="shared" si="8"/>
        <v>13</v>
      </c>
      <c r="N82" s="5" t="str">
        <f>VLOOKUP(C82, [1]Sheet1!A:B, 2, FALSE)</f>
        <v>Runner</v>
      </c>
    </row>
    <row r="83" spans="1:14" s="3" customFormat="1" x14ac:dyDescent="0.25">
      <c r="A83" s="5" t="s">
        <v>5</v>
      </c>
      <c r="B83" s="5" t="s">
        <v>34</v>
      </c>
      <c r="C83" s="5" t="s">
        <v>39</v>
      </c>
      <c r="D83" s="5" t="s">
        <v>40</v>
      </c>
      <c r="E83" s="5" t="s">
        <v>40</v>
      </c>
      <c r="F83" s="5">
        <v>190</v>
      </c>
      <c r="G83" s="5" t="s">
        <v>13</v>
      </c>
      <c r="H83" s="5">
        <v>2000</v>
      </c>
      <c r="I83" s="5">
        <v>2028</v>
      </c>
      <c r="J83" s="5">
        <v>28</v>
      </c>
      <c r="K83" s="5">
        <v>0</v>
      </c>
      <c r="L83" s="9">
        <f t="shared" si="7"/>
        <v>2000</v>
      </c>
      <c r="M83" s="5">
        <f t="shared" si="8"/>
        <v>-28</v>
      </c>
      <c r="N83" s="5" t="str">
        <f>VLOOKUP(C83, [1]Sheet1!A:B, 2, FALSE)</f>
        <v>Runner</v>
      </c>
    </row>
    <row r="84" spans="1:14" s="3" customFormat="1" x14ac:dyDescent="0.25">
      <c r="A84" s="5" t="s">
        <v>5</v>
      </c>
      <c r="B84" s="5" t="s">
        <v>34</v>
      </c>
      <c r="C84" s="5" t="s">
        <v>39</v>
      </c>
      <c r="D84" s="5" t="s">
        <v>40</v>
      </c>
      <c r="E84" s="5" t="s">
        <v>40</v>
      </c>
      <c r="F84" s="5">
        <v>190</v>
      </c>
      <c r="G84" s="5" t="s">
        <v>21</v>
      </c>
      <c r="H84" s="5">
        <v>2000</v>
      </c>
      <c r="I84" s="5">
        <v>1341</v>
      </c>
      <c r="J84" s="5">
        <v>9</v>
      </c>
      <c r="K84" s="5">
        <v>0</v>
      </c>
      <c r="L84" s="9">
        <f t="shared" si="7"/>
        <v>1332</v>
      </c>
      <c r="M84" s="5">
        <f t="shared" si="8"/>
        <v>659</v>
      </c>
      <c r="N84" s="5" t="str">
        <f>VLOOKUP(C84, [1]Sheet1!A:B, 2, FALSE)</f>
        <v>Runner</v>
      </c>
    </row>
    <row r="85" spans="1:14" s="3" customFormat="1" x14ac:dyDescent="0.25">
      <c r="A85" s="5" t="s">
        <v>5</v>
      </c>
      <c r="B85" s="5" t="s">
        <v>34</v>
      </c>
      <c r="C85" s="5" t="s">
        <v>116</v>
      </c>
      <c r="D85" s="5" t="s">
        <v>117</v>
      </c>
      <c r="E85" s="5" t="s">
        <v>117</v>
      </c>
      <c r="F85" s="5">
        <v>300</v>
      </c>
      <c r="G85" s="5" t="s">
        <v>21</v>
      </c>
      <c r="H85" s="5">
        <v>882</v>
      </c>
      <c r="I85" s="5">
        <v>618</v>
      </c>
      <c r="J85" s="5">
        <v>30</v>
      </c>
      <c r="K85" s="5">
        <v>0</v>
      </c>
      <c r="L85" s="9">
        <f t="shared" si="7"/>
        <v>588</v>
      </c>
      <c r="M85" s="5">
        <f t="shared" si="8"/>
        <v>264</v>
      </c>
      <c r="N85" s="5" t="str">
        <f>VLOOKUP(C85, [1]Sheet1!A:B, 2, FALSE)</f>
        <v>Runner</v>
      </c>
    </row>
    <row r="86" spans="1:14" s="3" customFormat="1" x14ac:dyDescent="0.25">
      <c r="A86" s="5" t="s">
        <v>5</v>
      </c>
      <c r="B86" s="5" t="s">
        <v>37</v>
      </c>
      <c r="C86" s="5" t="s">
        <v>41</v>
      </c>
      <c r="D86" s="5" t="s">
        <v>42</v>
      </c>
      <c r="E86" s="5" t="s">
        <v>42</v>
      </c>
      <c r="F86" s="5">
        <v>120</v>
      </c>
      <c r="G86" s="5" t="s">
        <v>13</v>
      </c>
      <c r="H86" s="5">
        <v>480</v>
      </c>
      <c r="I86" s="5">
        <v>783</v>
      </c>
      <c r="J86" s="5">
        <v>7</v>
      </c>
      <c r="K86" s="5">
        <v>0</v>
      </c>
      <c r="L86" s="9">
        <f t="shared" si="7"/>
        <v>776</v>
      </c>
      <c r="M86" s="5">
        <f t="shared" si="8"/>
        <v>-303</v>
      </c>
      <c r="N86" s="5">
        <v>0</v>
      </c>
    </row>
    <row r="87" spans="1:14" s="3" customFormat="1" x14ac:dyDescent="0.25">
      <c r="A87" s="5" t="s">
        <v>5</v>
      </c>
      <c r="B87" s="5" t="s">
        <v>37</v>
      </c>
      <c r="C87" s="5" t="s">
        <v>41</v>
      </c>
      <c r="D87" s="5" t="s">
        <v>42</v>
      </c>
      <c r="E87" s="5" t="s">
        <v>42</v>
      </c>
      <c r="F87" s="5">
        <v>120</v>
      </c>
      <c r="G87" s="5" t="s">
        <v>21</v>
      </c>
      <c r="H87" s="5">
        <v>480</v>
      </c>
      <c r="I87" s="5">
        <v>444</v>
      </c>
      <c r="J87" s="5">
        <v>40</v>
      </c>
      <c r="K87" s="5">
        <v>0</v>
      </c>
      <c r="L87" s="9">
        <f t="shared" si="7"/>
        <v>404</v>
      </c>
      <c r="M87" s="5">
        <f t="shared" si="8"/>
        <v>36</v>
      </c>
      <c r="N87" s="5"/>
    </row>
    <row r="88" spans="1:14" s="3" customFormat="1" x14ac:dyDescent="0.25">
      <c r="A88" s="5" t="s">
        <v>5</v>
      </c>
      <c r="B88" s="5" t="s">
        <v>38</v>
      </c>
      <c r="C88" s="5" t="s">
        <v>118</v>
      </c>
      <c r="D88" s="5" t="s">
        <v>54</v>
      </c>
      <c r="E88" s="5" t="s">
        <v>54</v>
      </c>
      <c r="F88" s="5">
        <v>120</v>
      </c>
      <c r="G88" s="5" t="s">
        <v>13</v>
      </c>
      <c r="H88" s="5">
        <v>441</v>
      </c>
      <c r="I88" s="5">
        <v>218</v>
      </c>
      <c r="J88" s="5">
        <v>8</v>
      </c>
      <c r="K88" s="5">
        <v>0</v>
      </c>
      <c r="L88" s="9">
        <f t="shared" si="7"/>
        <v>210</v>
      </c>
      <c r="M88" s="5">
        <f t="shared" si="8"/>
        <v>223</v>
      </c>
      <c r="N88" s="5"/>
    </row>
    <row r="89" spans="1:14" s="3" customFormat="1" x14ac:dyDescent="0.25">
      <c r="A89" s="5" t="s">
        <v>5</v>
      </c>
      <c r="B89" s="5" t="s">
        <v>38</v>
      </c>
      <c r="C89" s="5" t="s">
        <v>119</v>
      </c>
      <c r="D89" s="5" t="s">
        <v>120</v>
      </c>
      <c r="E89" s="5" t="s">
        <v>120</v>
      </c>
      <c r="F89" s="5">
        <v>140</v>
      </c>
      <c r="G89" s="5" t="s">
        <v>13</v>
      </c>
      <c r="H89" s="5">
        <v>8010</v>
      </c>
      <c r="I89" s="5">
        <v>784</v>
      </c>
      <c r="J89" s="5">
        <v>22</v>
      </c>
      <c r="K89" s="5">
        <v>0</v>
      </c>
      <c r="L89" s="9">
        <f t="shared" si="7"/>
        <v>762</v>
      </c>
      <c r="M89" s="5">
        <f t="shared" si="8"/>
        <v>7226</v>
      </c>
      <c r="N89" s="5"/>
    </row>
    <row r="90" spans="1:14" s="3" customFormat="1" x14ac:dyDescent="0.25">
      <c r="A90" s="5" t="s">
        <v>5</v>
      </c>
      <c r="B90" s="5" t="s">
        <v>38</v>
      </c>
      <c r="C90" s="5" t="s">
        <v>119</v>
      </c>
      <c r="D90" s="5" t="s">
        <v>120</v>
      </c>
      <c r="E90" s="5" t="s">
        <v>120</v>
      </c>
      <c r="F90" s="5">
        <v>140</v>
      </c>
      <c r="G90" s="5" t="s">
        <v>21</v>
      </c>
      <c r="H90" s="5">
        <v>800</v>
      </c>
      <c r="I90" s="5">
        <v>194</v>
      </c>
      <c r="J90" s="5">
        <v>6</v>
      </c>
      <c r="K90" s="5">
        <v>0</v>
      </c>
      <c r="L90" s="9">
        <f t="shared" si="7"/>
        <v>188</v>
      </c>
      <c r="M90" s="5">
        <f t="shared" si="8"/>
        <v>606</v>
      </c>
      <c r="N90" s="5"/>
    </row>
    <row r="91" spans="1:14" s="3" customFormat="1" x14ac:dyDescent="0.25">
      <c r="A91" s="5" t="s">
        <v>5</v>
      </c>
      <c r="B91" s="5" t="s">
        <v>38</v>
      </c>
      <c r="C91" s="5" t="s">
        <v>52</v>
      </c>
      <c r="D91" s="5" t="s">
        <v>42</v>
      </c>
      <c r="E91" s="5" t="s">
        <v>42</v>
      </c>
      <c r="F91" s="5">
        <v>120</v>
      </c>
      <c r="G91" s="5" t="s">
        <v>21</v>
      </c>
      <c r="H91" s="5">
        <v>1200</v>
      </c>
      <c r="I91" s="5">
        <v>988</v>
      </c>
      <c r="J91" s="5">
        <v>12</v>
      </c>
      <c r="K91" s="5">
        <v>0</v>
      </c>
      <c r="L91" s="9">
        <f t="shared" si="7"/>
        <v>976</v>
      </c>
      <c r="M91" s="5">
        <f t="shared" si="8"/>
        <v>212</v>
      </c>
      <c r="N91" s="5"/>
    </row>
    <row r="92" spans="1:14" s="3" customFormat="1" x14ac:dyDescent="0.25">
      <c r="A92" s="5" t="s">
        <v>5</v>
      </c>
      <c r="B92" s="5" t="s">
        <v>43</v>
      </c>
      <c r="C92" s="5" t="s">
        <v>56</v>
      </c>
      <c r="D92" s="5" t="s">
        <v>57</v>
      </c>
      <c r="E92" s="5" t="s">
        <v>57</v>
      </c>
      <c r="F92" s="5">
        <v>60</v>
      </c>
      <c r="G92" s="5" t="s">
        <v>13</v>
      </c>
      <c r="H92" s="5">
        <v>200</v>
      </c>
      <c r="I92" s="5">
        <v>0</v>
      </c>
      <c r="J92" s="5">
        <v>0</v>
      </c>
      <c r="K92" s="5">
        <v>0</v>
      </c>
      <c r="L92" s="9">
        <f t="shared" si="7"/>
        <v>0</v>
      </c>
      <c r="M92" s="5">
        <f t="shared" si="8"/>
        <v>200</v>
      </c>
      <c r="N92" s="5"/>
    </row>
    <row r="93" spans="1:14" s="3" customFormat="1" x14ac:dyDescent="0.25">
      <c r="A93" s="5" t="s">
        <v>5</v>
      </c>
      <c r="B93" s="5" t="s">
        <v>43</v>
      </c>
      <c r="C93" s="5" t="s">
        <v>58</v>
      </c>
      <c r="D93" s="5" t="s">
        <v>59</v>
      </c>
      <c r="E93" s="5" t="s">
        <v>59</v>
      </c>
      <c r="F93" s="5">
        <v>100</v>
      </c>
      <c r="G93" s="5" t="s">
        <v>13</v>
      </c>
      <c r="H93" s="5">
        <v>0</v>
      </c>
      <c r="I93" s="5">
        <v>152</v>
      </c>
      <c r="J93" s="5">
        <v>33</v>
      </c>
      <c r="K93" s="5">
        <v>0</v>
      </c>
      <c r="L93" s="9">
        <f t="shared" si="7"/>
        <v>119</v>
      </c>
      <c r="M93" s="5">
        <f t="shared" si="8"/>
        <v>-152</v>
      </c>
      <c r="N93" s="5"/>
    </row>
    <row r="94" spans="1:14" s="3" customFormat="1" x14ac:dyDescent="0.25">
      <c r="A94" s="5" t="s">
        <v>5</v>
      </c>
      <c r="B94" s="5" t="s">
        <v>43</v>
      </c>
      <c r="C94" s="5" t="s">
        <v>58</v>
      </c>
      <c r="D94" s="5" t="s">
        <v>59</v>
      </c>
      <c r="E94" s="5" t="s">
        <v>59</v>
      </c>
      <c r="F94" s="5">
        <v>100</v>
      </c>
      <c r="G94" s="5" t="s">
        <v>21</v>
      </c>
      <c r="H94" s="5">
        <v>400</v>
      </c>
      <c r="I94" s="5">
        <v>397</v>
      </c>
      <c r="J94" s="5">
        <v>19</v>
      </c>
      <c r="K94" s="5">
        <v>0</v>
      </c>
      <c r="L94" s="9">
        <f t="shared" si="7"/>
        <v>378</v>
      </c>
      <c r="M94" s="5">
        <f t="shared" si="8"/>
        <v>3</v>
      </c>
      <c r="N94" s="5"/>
    </row>
    <row r="95" spans="1:14" s="3" customFormat="1" x14ac:dyDescent="0.25">
      <c r="A95" s="5" t="s">
        <v>5</v>
      </c>
      <c r="B95" s="5" t="s">
        <v>43</v>
      </c>
      <c r="C95" s="5" t="s">
        <v>60</v>
      </c>
      <c r="D95" s="5" t="s">
        <v>61</v>
      </c>
      <c r="E95" s="5" t="s">
        <v>61</v>
      </c>
      <c r="F95" s="5">
        <v>80</v>
      </c>
      <c r="G95" s="5" t="s">
        <v>21</v>
      </c>
      <c r="H95" s="5">
        <v>0</v>
      </c>
      <c r="I95" s="5">
        <v>464</v>
      </c>
      <c r="J95" s="5">
        <v>14</v>
      </c>
      <c r="K95" s="5">
        <v>0</v>
      </c>
      <c r="L95" s="9">
        <f t="shared" si="7"/>
        <v>450</v>
      </c>
      <c r="M95" s="5">
        <f t="shared" si="8"/>
        <v>-464</v>
      </c>
      <c r="N95" s="5"/>
    </row>
    <row r="96" spans="1:14" s="3" customFormat="1" x14ac:dyDescent="0.25">
      <c r="A96" s="5" t="s">
        <v>5</v>
      </c>
      <c r="B96" s="5" t="s">
        <v>48</v>
      </c>
      <c r="C96" s="5" t="s">
        <v>62</v>
      </c>
      <c r="D96" s="5" t="s">
        <v>61</v>
      </c>
      <c r="E96" s="5" t="s">
        <v>61</v>
      </c>
      <c r="F96" s="5">
        <v>80</v>
      </c>
      <c r="G96" s="5" t="s">
        <v>13</v>
      </c>
      <c r="H96" s="5">
        <v>960</v>
      </c>
      <c r="I96" s="5">
        <v>955</v>
      </c>
      <c r="J96" s="5">
        <v>5</v>
      </c>
      <c r="K96" s="5">
        <v>0</v>
      </c>
      <c r="L96" s="9">
        <f t="shared" si="7"/>
        <v>950</v>
      </c>
      <c r="M96" s="5">
        <f t="shared" si="8"/>
        <v>5</v>
      </c>
      <c r="N96" s="5"/>
    </row>
    <row r="97" spans="1:14" s="3" customFormat="1" x14ac:dyDescent="0.25">
      <c r="A97" s="5" t="s">
        <v>5</v>
      </c>
      <c r="B97" s="5" t="s">
        <v>48</v>
      </c>
      <c r="C97" s="5" t="s">
        <v>62</v>
      </c>
      <c r="D97" s="5" t="s">
        <v>61</v>
      </c>
      <c r="E97" s="5" t="s">
        <v>61</v>
      </c>
      <c r="F97" s="5">
        <v>80</v>
      </c>
      <c r="G97" s="5" t="s">
        <v>21</v>
      </c>
      <c r="H97" s="5">
        <v>960</v>
      </c>
      <c r="I97" s="5">
        <v>835</v>
      </c>
      <c r="J97" s="5">
        <v>25</v>
      </c>
      <c r="K97" s="5">
        <v>0</v>
      </c>
      <c r="L97" s="9">
        <f t="shared" si="7"/>
        <v>810</v>
      </c>
      <c r="M97" s="5">
        <f t="shared" si="8"/>
        <v>125</v>
      </c>
      <c r="N97" s="5"/>
    </row>
    <row r="98" spans="1:14" s="3" customFormat="1" x14ac:dyDescent="0.25">
      <c r="A98" s="5" t="s">
        <v>5</v>
      </c>
      <c r="B98" s="5" t="s">
        <v>49</v>
      </c>
      <c r="C98" s="5" t="s">
        <v>64</v>
      </c>
      <c r="D98" s="11">
        <v>46077</v>
      </c>
      <c r="E98" s="11">
        <v>46077</v>
      </c>
      <c r="F98" s="5">
        <v>300</v>
      </c>
      <c r="G98" s="5" t="s">
        <v>13</v>
      </c>
      <c r="H98" s="5">
        <v>3150</v>
      </c>
      <c r="I98" s="5">
        <v>3190</v>
      </c>
      <c r="J98" s="5">
        <v>50</v>
      </c>
      <c r="K98" s="5">
        <v>10</v>
      </c>
      <c r="L98" s="9">
        <f t="shared" si="7"/>
        <v>3130</v>
      </c>
      <c r="M98" s="5">
        <f t="shared" si="8"/>
        <v>-40</v>
      </c>
      <c r="N98" s="5"/>
    </row>
    <row r="99" spans="1:14" s="3" customFormat="1" x14ac:dyDescent="0.25">
      <c r="A99" s="5" t="s">
        <v>5</v>
      </c>
      <c r="B99" s="5" t="s">
        <v>49</v>
      </c>
      <c r="C99" s="5" t="s">
        <v>64</v>
      </c>
      <c r="D99" s="11">
        <v>46077</v>
      </c>
      <c r="E99" s="11">
        <v>46077</v>
      </c>
      <c r="F99" s="5">
        <v>300</v>
      </c>
      <c r="G99" s="5" t="s">
        <v>21</v>
      </c>
      <c r="H99" s="5">
        <v>3150</v>
      </c>
      <c r="I99" s="5">
        <v>3180</v>
      </c>
      <c r="J99" s="5">
        <v>20</v>
      </c>
      <c r="K99" s="5">
        <v>0</v>
      </c>
      <c r="L99" s="9">
        <f t="shared" si="7"/>
        <v>3160</v>
      </c>
      <c r="M99" s="5">
        <f t="shared" si="8"/>
        <v>-30</v>
      </c>
      <c r="N99" s="5"/>
    </row>
    <row r="100" spans="1:14" s="3" customFormat="1" x14ac:dyDescent="0.25">
      <c r="A100" s="5" t="s">
        <v>5</v>
      </c>
      <c r="B100" s="5" t="s">
        <v>55</v>
      </c>
      <c r="C100" s="5" t="s">
        <v>68</v>
      </c>
      <c r="D100" s="5" t="s">
        <v>45</v>
      </c>
      <c r="E100" s="5" t="s">
        <v>45</v>
      </c>
      <c r="F100" s="5">
        <v>90</v>
      </c>
      <c r="G100" s="5" t="s">
        <v>13</v>
      </c>
      <c r="H100" s="5">
        <v>882</v>
      </c>
      <c r="I100" s="5">
        <v>310</v>
      </c>
      <c r="J100" s="5">
        <v>10</v>
      </c>
      <c r="K100" s="5">
        <v>0</v>
      </c>
      <c r="L100" s="9">
        <f t="shared" si="7"/>
        <v>300</v>
      </c>
      <c r="M100" s="5">
        <f t="shared" si="8"/>
        <v>572</v>
      </c>
      <c r="N100" s="5"/>
    </row>
    <row r="101" spans="1:14" s="3" customFormat="1" x14ac:dyDescent="0.25">
      <c r="A101" s="5" t="s">
        <v>5</v>
      </c>
      <c r="B101" s="5" t="s">
        <v>55</v>
      </c>
      <c r="C101" s="5" t="s">
        <v>121</v>
      </c>
      <c r="D101" s="5" t="s">
        <v>45</v>
      </c>
      <c r="E101" s="5" t="s">
        <v>45</v>
      </c>
      <c r="F101" s="5">
        <v>90</v>
      </c>
      <c r="G101" s="5" t="s">
        <v>13</v>
      </c>
      <c r="H101" s="5">
        <v>882</v>
      </c>
      <c r="I101" s="5">
        <v>710</v>
      </c>
      <c r="J101" s="5">
        <v>14</v>
      </c>
      <c r="K101" s="5">
        <v>0</v>
      </c>
      <c r="L101" s="9">
        <f t="shared" si="7"/>
        <v>696</v>
      </c>
      <c r="M101" s="5">
        <f t="shared" si="8"/>
        <v>172</v>
      </c>
      <c r="N101" s="5"/>
    </row>
    <row r="102" spans="1:14" s="3" customFormat="1" x14ac:dyDescent="0.25">
      <c r="A102" s="5" t="s">
        <v>5</v>
      </c>
      <c r="B102" s="5" t="s">
        <v>55</v>
      </c>
      <c r="C102" s="5" t="s">
        <v>121</v>
      </c>
      <c r="D102" s="5" t="s">
        <v>45</v>
      </c>
      <c r="E102" s="5" t="s">
        <v>45</v>
      </c>
      <c r="F102" s="5">
        <v>90</v>
      </c>
      <c r="G102" s="5" t="s">
        <v>21</v>
      </c>
      <c r="H102" s="5">
        <v>441</v>
      </c>
      <c r="I102" s="5">
        <v>382</v>
      </c>
      <c r="J102" s="5">
        <v>6</v>
      </c>
      <c r="K102" s="5">
        <v>0</v>
      </c>
      <c r="L102" s="9">
        <f t="shared" si="7"/>
        <v>376</v>
      </c>
      <c r="M102" s="5">
        <f t="shared" si="8"/>
        <v>59</v>
      </c>
      <c r="N102" s="5"/>
    </row>
    <row r="103" spans="1:14" s="3" customFormat="1" x14ac:dyDescent="0.25">
      <c r="A103" s="5" t="s">
        <v>5</v>
      </c>
      <c r="B103" s="5" t="s">
        <v>55</v>
      </c>
      <c r="C103" s="5" t="s">
        <v>122</v>
      </c>
      <c r="D103" s="5" t="s">
        <v>19</v>
      </c>
      <c r="E103" s="5" t="s">
        <v>19</v>
      </c>
      <c r="F103" s="5">
        <v>200</v>
      </c>
      <c r="G103" s="5" t="s">
        <v>21</v>
      </c>
      <c r="H103" s="5">
        <v>1990</v>
      </c>
      <c r="I103" s="5">
        <v>1185</v>
      </c>
      <c r="J103" s="5">
        <v>45</v>
      </c>
      <c r="K103" s="5">
        <v>0</v>
      </c>
      <c r="L103" s="9">
        <f t="shared" si="7"/>
        <v>1140</v>
      </c>
      <c r="M103" s="5">
        <f t="shared" si="8"/>
        <v>805</v>
      </c>
      <c r="N103" s="5"/>
    </row>
    <row r="104" spans="1:14" s="3" customFormat="1" x14ac:dyDescent="0.25">
      <c r="A104" s="5" t="s">
        <v>5</v>
      </c>
      <c r="B104" s="5" t="s">
        <v>65</v>
      </c>
      <c r="C104" s="5" t="s">
        <v>69</v>
      </c>
      <c r="D104" s="5" t="s">
        <v>29</v>
      </c>
      <c r="E104" s="5" t="s">
        <v>29</v>
      </c>
      <c r="F104" s="5">
        <v>180</v>
      </c>
      <c r="G104" s="5" t="s">
        <v>13</v>
      </c>
      <c r="H104" s="5">
        <v>616</v>
      </c>
      <c r="I104" s="5">
        <v>675</v>
      </c>
      <c r="J104" s="5">
        <v>9</v>
      </c>
      <c r="K104" s="5">
        <v>0</v>
      </c>
      <c r="L104" s="9">
        <f t="shared" si="7"/>
        <v>666</v>
      </c>
      <c r="M104" s="5">
        <f t="shared" si="8"/>
        <v>-59</v>
      </c>
      <c r="N104" s="5"/>
    </row>
    <row r="105" spans="1:14" s="3" customFormat="1" x14ac:dyDescent="0.25">
      <c r="A105" s="5" t="s">
        <v>5</v>
      </c>
      <c r="B105" s="5" t="s">
        <v>65</v>
      </c>
      <c r="C105" s="5" t="s">
        <v>123</v>
      </c>
      <c r="D105" s="5" t="s">
        <v>29</v>
      </c>
      <c r="E105" s="5" t="s">
        <v>63</v>
      </c>
      <c r="F105" s="5">
        <v>180</v>
      </c>
      <c r="G105" s="5" t="s">
        <v>13</v>
      </c>
      <c r="H105" s="5">
        <v>1000</v>
      </c>
      <c r="I105" s="5">
        <v>980</v>
      </c>
      <c r="J105" s="5">
        <v>2</v>
      </c>
      <c r="K105" s="5">
        <v>0</v>
      </c>
      <c r="L105" s="9">
        <f t="shared" si="7"/>
        <v>978</v>
      </c>
      <c r="M105" s="5">
        <f t="shared" si="8"/>
        <v>20</v>
      </c>
      <c r="N105" s="5"/>
    </row>
    <row r="106" spans="1:14" s="3" customFormat="1" x14ac:dyDescent="0.25">
      <c r="A106" s="5" t="s">
        <v>5</v>
      </c>
      <c r="B106" s="5" t="s">
        <v>65</v>
      </c>
      <c r="C106" s="5">
        <v>0</v>
      </c>
      <c r="D106" s="5">
        <v>0</v>
      </c>
      <c r="E106" s="5">
        <v>0</v>
      </c>
      <c r="F106" s="5">
        <v>0</v>
      </c>
      <c r="G106" s="5" t="s">
        <v>21</v>
      </c>
      <c r="H106" s="5">
        <v>0</v>
      </c>
      <c r="I106" s="5">
        <v>0</v>
      </c>
      <c r="J106" s="5">
        <v>0</v>
      </c>
      <c r="K106" s="5">
        <v>0</v>
      </c>
      <c r="L106" s="9">
        <f t="shared" si="7"/>
        <v>0</v>
      </c>
      <c r="M106" s="5">
        <f t="shared" si="8"/>
        <v>0</v>
      </c>
      <c r="N106" s="5"/>
    </row>
    <row r="107" spans="1:14" s="3" customFormat="1" x14ac:dyDescent="0.25">
      <c r="A107" s="5" t="s">
        <v>5</v>
      </c>
      <c r="B107" s="5" t="s">
        <v>66</v>
      </c>
      <c r="C107" s="5" t="s">
        <v>73</v>
      </c>
      <c r="D107" s="11">
        <v>46053</v>
      </c>
      <c r="E107" s="11">
        <v>46053</v>
      </c>
      <c r="F107" s="5">
        <v>115</v>
      </c>
      <c r="G107" s="5" t="s">
        <v>13</v>
      </c>
      <c r="H107" s="5">
        <v>1360</v>
      </c>
      <c r="I107" s="5">
        <v>1343</v>
      </c>
      <c r="J107" s="5">
        <v>7</v>
      </c>
      <c r="K107" s="5">
        <v>10</v>
      </c>
      <c r="L107" s="9">
        <f t="shared" si="7"/>
        <v>1326</v>
      </c>
      <c r="M107" s="5">
        <f t="shared" si="8"/>
        <v>17</v>
      </c>
      <c r="N107" s="5"/>
    </row>
    <row r="108" spans="1:14" s="3" customFormat="1" x14ac:dyDescent="0.25">
      <c r="A108" s="5" t="s">
        <v>5</v>
      </c>
      <c r="B108" s="5" t="s">
        <v>66</v>
      </c>
      <c r="C108" s="5" t="s">
        <v>73</v>
      </c>
      <c r="D108" s="11">
        <v>46053</v>
      </c>
      <c r="E108" s="11">
        <v>46053</v>
      </c>
      <c r="F108" s="5">
        <v>115</v>
      </c>
      <c r="G108" s="5" t="s">
        <v>21</v>
      </c>
      <c r="H108" s="5">
        <v>1360</v>
      </c>
      <c r="I108" s="5">
        <v>1215</v>
      </c>
      <c r="J108" s="5">
        <v>25</v>
      </c>
      <c r="K108" s="5">
        <v>0</v>
      </c>
      <c r="L108" s="9">
        <f t="shared" si="7"/>
        <v>1190</v>
      </c>
      <c r="M108" s="5">
        <f t="shared" si="8"/>
        <v>145</v>
      </c>
      <c r="N108" s="5"/>
    </row>
    <row r="109" spans="1:14" s="3" customFormat="1" x14ac:dyDescent="0.25">
      <c r="A109" s="5" t="s">
        <v>5</v>
      </c>
      <c r="B109" s="5" t="s">
        <v>67</v>
      </c>
      <c r="C109" s="5" t="s">
        <v>74</v>
      </c>
      <c r="D109" s="11">
        <v>46047</v>
      </c>
      <c r="E109" s="11">
        <v>46047</v>
      </c>
      <c r="F109" s="5">
        <v>140</v>
      </c>
      <c r="G109" s="5" t="s">
        <v>13</v>
      </c>
      <c r="H109" s="5">
        <v>1440</v>
      </c>
      <c r="I109" s="5">
        <v>1428</v>
      </c>
      <c r="J109" s="5">
        <v>30</v>
      </c>
      <c r="K109" s="5">
        <v>0</v>
      </c>
      <c r="L109" s="9">
        <f t="shared" si="7"/>
        <v>1398</v>
      </c>
      <c r="M109" s="5">
        <f t="shared" si="8"/>
        <v>12</v>
      </c>
      <c r="N109" s="5"/>
    </row>
    <row r="110" spans="1:14" s="3" customFormat="1" x14ac:dyDescent="0.25">
      <c r="A110" s="5" t="s">
        <v>5</v>
      </c>
      <c r="B110" s="5" t="s">
        <v>67</v>
      </c>
      <c r="C110" s="5" t="s">
        <v>74</v>
      </c>
      <c r="D110" s="11">
        <v>46047</v>
      </c>
      <c r="E110" s="11">
        <v>46047</v>
      </c>
      <c r="F110" s="5">
        <v>140</v>
      </c>
      <c r="G110" s="5" t="s">
        <v>21</v>
      </c>
      <c r="H110" s="5">
        <v>1440</v>
      </c>
      <c r="I110" s="5">
        <v>1458</v>
      </c>
      <c r="J110" s="5">
        <v>32</v>
      </c>
      <c r="K110" s="5">
        <v>0</v>
      </c>
      <c r="L110" s="9">
        <f t="shared" si="7"/>
        <v>1426</v>
      </c>
      <c r="M110" s="5">
        <f t="shared" si="8"/>
        <v>-18</v>
      </c>
      <c r="N110" s="5"/>
    </row>
    <row r="111" spans="1:14" s="3" customFormat="1" x14ac:dyDescent="0.25">
      <c r="A111" s="5" t="s">
        <v>5</v>
      </c>
      <c r="B111" s="5" t="s">
        <v>78</v>
      </c>
      <c r="C111" s="5" t="s">
        <v>76</v>
      </c>
      <c r="D111" s="5" t="s">
        <v>77</v>
      </c>
      <c r="E111" s="5" t="s">
        <v>77</v>
      </c>
      <c r="F111" s="5">
        <v>230</v>
      </c>
      <c r="G111" s="5" t="s">
        <v>13</v>
      </c>
      <c r="H111" s="5">
        <v>2160</v>
      </c>
      <c r="I111" s="5">
        <v>2520</v>
      </c>
      <c r="J111" s="5">
        <v>40</v>
      </c>
      <c r="K111" s="5">
        <v>21</v>
      </c>
      <c r="L111" s="9">
        <f t="shared" ref="L111:L186" si="9">I111 - (J111+K111)</f>
        <v>2459</v>
      </c>
      <c r="M111" s="5">
        <f t="shared" ref="M111:M158" si="10">H111-I111</f>
        <v>-360</v>
      </c>
      <c r="N111" s="5"/>
    </row>
    <row r="112" spans="1:14" s="3" customFormat="1" x14ac:dyDescent="0.25">
      <c r="A112" s="5" t="s">
        <v>5</v>
      </c>
      <c r="B112" s="5" t="s">
        <v>78</v>
      </c>
      <c r="C112" s="5" t="s">
        <v>76</v>
      </c>
      <c r="D112" s="5" t="s">
        <v>77</v>
      </c>
      <c r="E112" s="5" t="s">
        <v>77</v>
      </c>
      <c r="F112" s="5">
        <v>230</v>
      </c>
      <c r="G112" s="5" t="s">
        <v>21</v>
      </c>
      <c r="H112" s="5">
        <v>2160</v>
      </c>
      <c r="I112" s="5">
        <v>2372</v>
      </c>
      <c r="J112" s="5">
        <v>28</v>
      </c>
      <c r="K112" s="5">
        <v>0</v>
      </c>
      <c r="L112" s="9">
        <f t="shared" si="9"/>
        <v>2344</v>
      </c>
      <c r="M112" s="5">
        <f t="shared" si="10"/>
        <v>-212</v>
      </c>
      <c r="N112" s="5"/>
    </row>
    <row r="113" spans="1:14" s="3" customFormat="1" x14ac:dyDescent="0.25">
      <c r="A113" s="5" t="s">
        <v>5</v>
      </c>
      <c r="B113" s="5" t="s">
        <v>80</v>
      </c>
      <c r="C113" s="5" t="s">
        <v>81</v>
      </c>
      <c r="D113" s="11">
        <v>46078</v>
      </c>
      <c r="E113" s="11">
        <v>46078</v>
      </c>
      <c r="F113" s="5">
        <v>280</v>
      </c>
      <c r="G113" s="5" t="s">
        <v>13</v>
      </c>
      <c r="H113" s="5">
        <v>3240</v>
      </c>
      <c r="I113" s="5">
        <v>2660</v>
      </c>
      <c r="J113" s="5">
        <v>48</v>
      </c>
      <c r="K113" s="5">
        <v>0</v>
      </c>
      <c r="L113" s="9">
        <f t="shared" si="9"/>
        <v>2612</v>
      </c>
      <c r="M113" s="5">
        <f t="shared" si="10"/>
        <v>580</v>
      </c>
      <c r="N113" s="5"/>
    </row>
    <row r="114" spans="1:14" s="3" customFormat="1" x14ac:dyDescent="0.25">
      <c r="A114" s="5" t="s">
        <v>5</v>
      </c>
      <c r="B114" s="5" t="s">
        <v>80</v>
      </c>
      <c r="C114" s="5" t="s">
        <v>81</v>
      </c>
      <c r="D114" s="11">
        <v>46078</v>
      </c>
      <c r="E114" s="11">
        <v>46078</v>
      </c>
      <c r="F114" s="5">
        <v>280</v>
      </c>
      <c r="G114" s="5" t="s">
        <v>21</v>
      </c>
      <c r="H114" s="5">
        <v>3240</v>
      </c>
      <c r="I114" s="5">
        <v>736</v>
      </c>
      <c r="J114" s="5">
        <v>20</v>
      </c>
      <c r="K114" s="5">
        <v>0</v>
      </c>
      <c r="L114" s="9">
        <f t="shared" si="9"/>
        <v>716</v>
      </c>
      <c r="M114" s="5">
        <f t="shared" si="10"/>
        <v>2504</v>
      </c>
      <c r="N114" s="5"/>
    </row>
    <row r="115" spans="1:14" s="3" customFormat="1" x14ac:dyDescent="0.25">
      <c r="A115" s="5" t="s">
        <v>5</v>
      </c>
      <c r="B115" s="5" t="s">
        <v>82</v>
      </c>
      <c r="C115" s="5" t="s">
        <v>83</v>
      </c>
      <c r="D115" s="5" t="s">
        <v>35</v>
      </c>
      <c r="E115" s="5" t="s">
        <v>35</v>
      </c>
      <c r="F115" s="5">
        <v>240</v>
      </c>
      <c r="G115" s="5" t="s">
        <v>13</v>
      </c>
      <c r="H115" s="5">
        <v>2520</v>
      </c>
      <c r="I115" s="5">
        <v>2500</v>
      </c>
      <c r="J115" s="5">
        <v>100</v>
      </c>
      <c r="K115" s="5">
        <v>0</v>
      </c>
      <c r="L115" s="9">
        <f t="shared" si="9"/>
        <v>2400</v>
      </c>
      <c r="M115" s="5">
        <f t="shared" si="10"/>
        <v>20</v>
      </c>
      <c r="N115" s="5"/>
    </row>
    <row r="116" spans="1:14" s="3" customFormat="1" x14ac:dyDescent="0.25">
      <c r="A116" s="5" t="s">
        <v>5</v>
      </c>
      <c r="B116" s="5" t="s">
        <v>82</v>
      </c>
      <c r="C116" s="5" t="s">
        <v>83</v>
      </c>
      <c r="D116" s="5" t="s">
        <v>35</v>
      </c>
      <c r="E116" s="5" t="s">
        <v>35</v>
      </c>
      <c r="F116" s="5">
        <v>240</v>
      </c>
      <c r="G116" s="5" t="s">
        <v>21</v>
      </c>
      <c r="H116" s="5">
        <v>2520</v>
      </c>
      <c r="I116" s="5">
        <v>2500</v>
      </c>
      <c r="J116" s="5">
        <v>100</v>
      </c>
      <c r="K116" s="5">
        <v>0</v>
      </c>
      <c r="L116" s="9">
        <f t="shared" si="9"/>
        <v>2400</v>
      </c>
      <c r="M116" s="5">
        <f t="shared" si="10"/>
        <v>20</v>
      </c>
      <c r="N116" s="5"/>
    </row>
    <row r="117" spans="1:14" s="3" customFormat="1" x14ac:dyDescent="0.25">
      <c r="A117" s="5" t="s">
        <v>5</v>
      </c>
      <c r="B117" s="5" t="s">
        <v>84</v>
      </c>
      <c r="C117" s="5" t="s">
        <v>85</v>
      </c>
      <c r="D117" s="5" t="s">
        <v>99</v>
      </c>
      <c r="E117" s="5" t="s">
        <v>99</v>
      </c>
      <c r="F117" s="5">
        <v>140</v>
      </c>
      <c r="G117" s="5" t="s">
        <v>13</v>
      </c>
      <c r="H117" s="5">
        <v>1440</v>
      </c>
      <c r="I117" s="5">
        <v>1241</v>
      </c>
      <c r="J117" s="5">
        <v>13</v>
      </c>
      <c r="K117" s="5">
        <v>0</v>
      </c>
      <c r="L117" s="9">
        <f t="shared" si="9"/>
        <v>1228</v>
      </c>
      <c r="M117" s="5">
        <f t="shared" si="10"/>
        <v>199</v>
      </c>
      <c r="N117" s="5"/>
    </row>
    <row r="118" spans="1:14" s="3" customFormat="1" x14ac:dyDescent="0.25">
      <c r="A118" s="5" t="s">
        <v>5</v>
      </c>
      <c r="B118" s="5" t="s">
        <v>84</v>
      </c>
      <c r="C118" s="5" t="s">
        <v>85</v>
      </c>
      <c r="D118" s="5" t="s">
        <v>99</v>
      </c>
      <c r="E118" s="5" t="s">
        <v>109</v>
      </c>
      <c r="F118" s="5">
        <v>140</v>
      </c>
      <c r="G118" s="5" t="s">
        <v>21</v>
      </c>
      <c r="H118" s="5">
        <v>1200</v>
      </c>
      <c r="I118" s="5">
        <v>1122</v>
      </c>
      <c r="J118" s="5">
        <v>60</v>
      </c>
      <c r="K118" s="5">
        <v>0</v>
      </c>
      <c r="L118" s="9">
        <f t="shared" si="9"/>
        <v>1062</v>
      </c>
      <c r="M118" s="5">
        <f t="shared" si="10"/>
        <v>78</v>
      </c>
      <c r="N118" s="5"/>
    </row>
    <row r="119" spans="1:14" s="3" customFormat="1" x14ac:dyDescent="0.25">
      <c r="A119" s="5" t="s">
        <v>5</v>
      </c>
      <c r="B119" s="5" t="s">
        <v>87</v>
      </c>
      <c r="C119" s="5" t="s">
        <v>88</v>
      </c>
      <c r="D119" s="11">
        <v>46076</v>
      </c>
      <c r="E119" s="11">
        <v>46076</v>
      </c>
      <c r="F119" s="5">
        <v>310</v>
      </c>
      <c r="G119" s="5" t="s">
        <v>13</v>
      </c>
      <c r="H119" s="5">
        <v>4000</v>
      </c>
      <c r="I119" s="5">
        <v>3205</v>
      </c>
      <c r="J119" s="5">
        <v>15</v>
      </c>
      <c r="K119" s="5">
        <v>0</v>
      </c>
      <c r="L119" s="9">
        <f t="shared" si="9"/>
        <v>3190</v>
      </c>
      <c r="M119" s="5">
        <f t="shared" si="10"/>
        <v>795</v>
      </c>
      <c r="N119" s="5"/>
    </row>
    <row r="120" spans="1:14" s="3" customFormat="1" x14ac:dyDescent="0.25">
      <c r="A120" s="5" t="s">
        <v>5</v>
      </c>
      <c r="B120" s="5" t="s">
        <v>87</v>
      </c>
      <c r="C120" s="5" t="s">
        <v>88</v>
      </c>
      <c r="D120" s="11">
        <v>46076</v>
      </c>
      <c r="E120" s="11">
        <v>46076</v>
      </c>
      <c r="F120" s="5">
        <v>310</v>
      </c>
      <c r="G120" s="5" t="s">
        <v>21</v>
      </c>
      <c r="H120" s="5">
        <v>4000</v>
      </c>
      <c r="I120" s="5">
        <v>2540</v>
      </c>
      <c r="J120" s="5">
        <v>10</v>
      </c>
      <c r="K120" s="5">
        <v>0</v>
      </c>
      <c r="L120" s="9">
        <f t="shared" si="9"/>
        <v>2530</v>
      </c>
      <c r="M120" s="5">
        <f t="shared" si="10"/>
        <v>1460</v>
      </c>
      <c r="N120" s="5"/>
    </row>
    <row r="121" spans="1:14" s="3" customFormat="1" x14ac:dyDescent="0.25">
      <c r="A121" s="5" t="s">
        <v>5</v>
      </c>
      <c r="B121" s="5" t="s">
        <v>89</v>
      </c>
      <c r="C121" s="5" t="s">
        <v>92</v>
      </c>
      <c r="D121" s="5" t="s">
        <v>46</v>
      </c>
      <c r="E121" s="5" t="s">
        <v>46</v>
      </c>
      <c r="F121" s="5">
        <v>360</v>
      </c>
      <c r="G121" s="5" t="s">
        <v>13</v>
      </c>
      <c r="H121" s="5">
        <v>1764</v>
      </c>
      <c r="I121" s="5">
        <v>2154</v>
      </c>
      <c r="J121" s="5">
        <v>26</v>
      </c>
      <c r="K121" s="5">
        <v>0</v>
      </c>
      <c r="L121" s="9">
        <f t="shared" si="9"/>
        <v>2128</v>
      </c>
      <c r="M121" s="5">
        <f t="shared" si="10"/>
        <v>-390</v>
      </c>
      <c r="N121" s="5"/>
    </row>
    <row r="122" spans="1:14" s="3" customFormat="1" x14ac:dyDescent="0.25">
      <c r="A122" s="5" t="s">
        <v>5</v>
      </c>
      <c r="B122" s="5" t="s">
        <v>89</v>
      </c>
      <c r="C122" s="5" t="s">
        <v>92</v>
      </c>
      <c r="D122" s="5" t="s">
        <v>46</v>
      </c>
      <c r="E122" s="5" t="s">
        <v>46</v>
      </c>
      <c r="F122" s="5">
        <v>360</v>
      </c>
      <c r="G122" s="5" t="s">
        <v>21</v>
      </c>
      <c r="H122" s="5">
        <v>1764</v>
      </c>
      <c r="I122" s="5">
        <v>1500</v>
      </c>
      <c r="J122" s="5">
        <v>0</v>
      </c>
      <c r="K122" s="5">
        <v>0</v>
      </c>
      <c r="L122" s="9">
        <f t="shared" si="9"/>
        <v>1500</v>
      </c>
      <c r="M122" s="5">
        <f t="shared" si="10"/>
        <v>264</v>
      </c>
      <c r="N122" s="5"/>
    </row>
    <row r="123" spans="1:14" s="3" customFormat="1" x14ac:dyDescent="0.25">
      <c r="A123" s="5" t="s">
        <v>5</v>
      </c>
      <c r="B123" s="5" t="s">
        <v>89</v>
      </c>
      <c r="C123" s="5" t="s">
        <v>88</v>
      </c>
      <c r="D123" s="11">
        <v>46076</v>
      </c>
      <c r="E123" s="11">
        <v>46076</v>
      </c>
      <c r="F123" s="5">
        <v>310</v>
      </c>
      <c r="G123" s="5" t="s">
        <v>21</v>
      </c>
      <c r="H123" s="5">
        <v>1600</v>
      </c>
      <c r="I123" s="5">
        <v>424</v>
      </c>
      <c r="J123" s="5">
        <v>10</v>
      </c>
      <c r="K123" s="5">
        <v>0</v>
      </c>
      <c r="L123" s="9">
        <f t="shared" si="9"/>
        <v>414</v>
      </c>
      <c r="M123" s="5">
        <f t="shared" si="10"/>
        <v>1176</v>
      </c>
      <c r="N123" s="5"/>
    </row>
    <row r="124" spans="1:14" s="3" customFormat="1" x14ac:dyDescent="0.25">
      <c r="A124" s="5" t="s">
        <v>5</v>
      </c>
      <c r="B124" s="5" t="s">
        <v>90</v>
      </c>
      <c r="C124" s="5" t="s">
        <v>93</v>
      </c>
      <c r="D124" s="5" t="s">
        <v>19</v>
      </c>
      <c r="E124" s="5" t="s">
        <v>19</v>
      </c>
      <c r="F124" s="5">
        <v>200</v>
      </c>
      <c r="G124" s="5" t="s">
        <v>13</v>
      </c>
      <c r="H124" s="5">
        <v>2100</v>
      </c>
      <c r="I124" s="5">
        <v>2063</v>
      </c>
      <c r="J124" s="5">
        <v>35</v>
      </c>
      <c r="K124" s="5">
        <v>0</v>
      </c>
      <c r="L124" s="9">
        <f t="shared" si="9"/>
        <v>2028</v>
      </c>
      <c r="M124" s="5">
        <f t="shared" si="10"/>
        <v>37</v>
      </c>
      <c r="N124" s="5"/>
    </row>
    <row r="125" spans="1:14" s="3" customFormat="1" x14ac:dyDescent="0.25">
      <c r="A125" s="5" t="s">
        <v>5</v>
      </c>
      <c r="B125" s="5" t="s">
        <v>90</v>
      </c>
      <c r="C125" s="5" t="s">
        <v>93</v>
      </c>
      <c r="D125" s="5" t="s">
        <v>19</v>
      </c>
      <c r="E125" s="5" t="s">
        <v>19</v>
      </c>
      <c r="F125" s="5">
        <v>200</v>
      </c>
      <c r="G125" s="5" t="s">
        <v>21</v>
      </c>
      <c r="H125" s="5">
        <v>2100</v>
      </c>
      <c r="I125" s="5">
        <v>2063</v>
      </c>
      <c r="J125" s="5">
        <v>21</v>
      </c>
      <c r="K125" s="5">
        <v>0</v>
      </c>
      <c r="L125" s="9">
        <f t="shared" si="9"/>
        <v>2042</v>
      </c>
      <c r="M125" s="5">
        <f t="shared" si="10"/>
        <v>37</v>
      </c>
      <c r="N125" s="5"/>
    </row>
    <row r="126" spans="1:14" s="3" customFormat="1" x14ac:dyDescent="0.25">
      <c r="A126" s="5" t="s">
        <v>5</v>
      </c>
      <c r="B126" s="5" t="s">
        <v>91</v>
      </c>
      <c r="C126" s="5" t="s">
        <v>95</v>
      </c>
      <c r="D126" s="5" t="s">
        <v>96</v>
      </c>
      <c r="E126" s="5" t="s">
        <v>29</v>
      </c>
      <c r="F126" s="5">
        <v>200</v>
      </c>
      <c r="G126" s="5" t="s">
        <v>13</v>
      </c>
      <c r="H126" s="5">
        <v>1200</v>
      </c>
      <c r="I126" s="5">
        <v>1889</v>
      </c>
      <c r="J126" s="5">
        <v>41</v>
      </c>
      <c r="K126" s="5">
        <v>0</v>
      </c>
      <c r="L126" s="9">
        <f t="shared" si="9"/>
        <v>1848</v>
      </c>
      <c r="M126" s="5">
        <f t="shared" si="10"/>
        <v>-689</v>
      </c>
      <c r="N126" s="5"/>
    </row>
    <row r="127" spans="1:14" s="3" customFormat="1" x14ac:dyDescent="0.25">
      <c r="A127" s="5" t="s">
        <v>5</v>
      </c>
      <c r="B127" s="5" t="s">
        <v>91</v>
      </c>
      <c r="C127" s="5" t="s">
        <v>95</v>
      </c>
      <c r="D127" s="5" t="s">
        <v>96</v>
      </c>
      <c r="E127" s="5" t="s">
        <v>29</v>
      </c>
      <c r="F127" s="5">
        <v>200</v>
      </c>
      <c r="G127" s="5" t="s">
        <v>21</v>
      </c>
      <c r="H127" s="5">
        <v>0</v>
      </c>
      <c r="I127" s="5">
        <v>186</v>
      </c>
      <c r="J127" s="5">
        <v>6</v>
      </c>
      <c r="K127" s="5">
        <v>0</v>
      </c>
      <c r="L127" s="9">
        <f t="shared" si="9"/>
        <v>180</v>
      </c>
      <c r="M127" s="5">
        <f t="shared" si="10"/>
        <v>-186</v>
      </c>
      <c r="N127" s="5"/>
    </row>
    <row r="128" spans="1:14" s="3" customFormat="1" x14ac:dyDescent="0.25">
      <c r="A128" s="5" t="s">
        <v>5</v>
      </c>
      <c r="B128" s="5" t="s">
        <v>94</v>
      </c>
      <c r="C128" s="5" t="s">
        <v>110</v>
      </c>
      <c r="D128" s="5" t="s">
        <v>45</v>
      </c>
      <c r="E128" s="5" t="s">
        <v>98</v>
      </c>
      <c r="F128" s="5">
        <v>90</v>
      </c>
      <c r="G128" s="5" t="s">
        <v>13</v>
      </c>
      <c r="H128" s="5">
        <v>800</v>
      </c>
      <c r="I128" s="5">
        <v>764</v>
      </c>
      <c r="J128" s="5">
        <v>4</v>
      </c>
      <c r="K128" s="5">
        <v>0</v>
      </c>
      <c r="L128" s="9">
        <f t="shared" si="9"/>
        <v>760</v>
      </c>
      <c r="M128" s="5">
        <f t="shared" si="10"/>
        <v>36</v>
      </c>
      <c r="N128" s="5"/>
    </row>
    <row r="129" spans="1:14" s="3" customFormat="1" x14ac:dyDescent="0.25">
      <c r="A129" s="5" t="s">
        <v>5</v>
      </c>
      <c r="B129" s="5" t="s">
        <v>94</v>
      </c>
      <c r="C129" s="5" t="s">
        <v>110</v>
      </c>
      <c r="D129" s="5" t="s">
        <v>45</v>
      </c>
      <c r="E129" s="5" t="s">
        <v>98</v>
      </c>
      <c r="F129" s="5">
        <v>90</v>
      </c>
      <c r="G129" s="5" t="s">
        <v>21</v>
      </c>
      <c r="H129" s="5">
        <v>800</v>
      </c>
      <c r="I129" s="5">
        <v>452</v>
      </c>
      <c r="J129" s="5">
        <v>2</v>
      </c>
      <c r="K129" s="5">
        <v>0</v>
      </c>
      <c r="L129" s="9">
        <f t="shared" si="9"/>
        <v>450</v>
      </c>
      <c r="M129" s="5">
        <f t="shared" si="10"/>
        <v>348</v>
      </c>
      <c r="N129" s="5"/>
    </row>
    <row r="130" spans="1:14" s="3" customFormat="1" x14ac:dyDescent="0.25">
      <c r="A130" s="5" t="s">
        <v>5</v>
      </c>
      <c r="B130" s="5" t="s">
        <v>94</v>
      </c>
      <c r="C130" s="5" t="s">
        <v>111</v>
      </c>
      <c r="D130" s="5" t="s">
        <v>29</v>
      </c>
      <c r="E130" s="5" t="s">
        <v>99</v>
      </c>
      <c r="F130" s="5">
        <v>180</v>
      </c>
      <c r="G130" s="5" t="s">
        <v>21</v>
      </c>
      <c r="H130" s="5">
        <v>480</v>
      </c>
      <c r="I130" s="5">
        <v>496</v>
      </c>
      <c r="J130" s="5">
        <v>16</v>
      </c>
      <c r="K130" s="5">
        <v>0</v>
      </c>
      <c r="L130" s="9">
        <f t="shared" si="9"/>
        <v>480</v>
      </c>
      <c r="M130" s="5">
        <f t="shared" si="10"/>
        <v>-16</v>
      </c>
      <c r="N130" s="5"/>
    </row>
    <row r="131" spans="1:14" s="3" customFormat="1" x14ac:dyDescent="0.25">
      <c r="A131" s="5" t="s">
        <v>5</v>
      </c>
      <c r="B131" s="5" t="s">
        <v>102</v>
      </c>
      <c r="C131" s="5" t="s">
        <v>103</v>
      </c>
      <c r="D131" s="5" t="s">
        <v>105</v>
      </c>
      <c r="E131" s="5" t="s">
        <v>105</v>
      </c>
      <c r="F131" s="5">
        <v>70</v>
      </c>
      <c r="G131" s="5" t="s">
        <v>13</v>
      </c>
      <c r="H131" s="5">
        <v>320</v>
      </c>
      <c r="I131" s="5">
        <v>759</v>
      </c>
      <c r="J131" s="5">
        <v>10</v>
      </c>
      <c r="K131" s="5">
        <v>0</v>
      </c>
      <c r="L131" s="9">
        <f t="shared" si="9"/>
        <v>749</v>
      </c>
      <c r="M131" s="5">
        <f t="shared" si="10"/>
        <v>-439</v>
      </c>
      <c r="N131" s="5"/>
    </row>
    <row r="132" spans="1:14" s="3" customFormat="1" x14ac:dyDescent="0.25">
      <c r="A132" s="5" t="s">
        <v>5</v>
      </c>
      <c r="B132" s="5" t="s">
        <v>102</v>
      </c>
      <c r="C132" s="5" t="s">
        <v>103</v>
      </c>
      <c r="D132" s="5" t="s">
        <v>105</v>
      </c>
      <c r="E132" s="5" t="s">
        <v>105</v>
      </c>
      <c r="F132" s="5">
        <v>70</v>
      </c>
      <c r="G132" s="5" t="s">
        <v>21</v>
      </c>
      <c r="H132" s="5">
        <v>400</v>
      </c>
      <c r="I132" s="5">
        <v>367</v>
      </c>
      <c r="J132" s="5">
        <v>6</v>
      </c>
      <c r="K132" s="5">
        <v>0</v>
      </c>
      <c r="L132" s="9">
        <f t="shared" si="9"/>
        <v>361</v>
      </c>
      <c r="M132" s="5">
        <f t="shared" si="10"/>
        <v>33</v>
      </c>
      <c r="N132" s="5"/>
    </row>
    <row r="133" spans="1:14" s="3" customFormat="1" x14ac:dyDescent="0.25">
      <c r="A133" s="5" t="s">
        <v>5</v>
      </c>
      <c r="B133" s="5" t="s">
        <v>102</v>
      </c>
      <c r="C133" s="5" t="s">
        <v>104</v>
      </c>
      <c r="D133" s="5" t="s">
        <v>42</v>
      </c>
      <c r="E133" s="5" t="s">
        <v>42</v>
      </c>
      <c r="F133" s="5">
        <v>120</v>
      </c>
      <c r="G133" s="5" t="s">
        <v>21</v>
      </c>
      <c r="H133" s="5">
        <v>560</v>
      </c>
      <c r="I133" s="5">
        <v>546</v>
      </c>
      <c r="J133" s="5">
        <v>14</v>
      </c>
      <c r="K133" s="5">
        <v>0</v>
      </c>
      <c r="L133" s="9">
        <f t="shared" si="9"/>
        <v>532</v>
      </c>
      <c r="M133" s="5">
        <f t="shared" si="10"/>
        <v>14</v>
      </c>
      <c r="N133" s="5"/>
    </row>
    <row r="134" spans="1:14" s="3" customFormat="1" x14ac:dyDescent="0.25">
      <c r="A134" s="5" t="s">
        <v>5</v>
      </c>
      <c r="B134" s="5" t="s">
        <v>106</v>
      </c>
      <c r="C134" s="5" t="s">
        <v>73</v>
      </c>
      <c r="D134" s="11">
        <v>46053</v>
      </c>
      <c r="E134" s="11">
        <v>46053</v>
      </c>
      <c r="F134" s="5">
        <v>115</v>
      </c>
      <c r="G134" s="5" t="s">
        <v>13</v>
      </c>
      <c r="H134" s="5">
        <v>1360</v>
      </c>
      <c r="I134" s="5">
        <v>558</v>
      </c>
      <c r="J134" s="5">
        <v>35</v>
      </c>
      <c r="K134" s="5">
        <v>0</v>
      </c>
      <c r="L134" s="9">
        <f t="shared" si="9"/>
        <v>523</v>
      </c>
      <c r="M134" s="5">
        <f t="shared" si="10"/>
        <v>802</v>
      </c>
      <c r="N134" s="5"/>
    </row>
    <row r="135" spans="1:14" s="3" customFormat="1" x14ac:dyDescent="0.25">
      <c r="A135" s="5" t="s">
        <v>5</v>
      </c>
      <c r="B135" s="5" t="s">
        <v>106</v>
      </c>
      <c r="C135" s="5" t="s">
        <v>73</v>
      </c>
      <c r="D135" s="11">
        <v>46053</v>
      </c>
      <c r="E135" s="11">
        <v>46053</v>
      </c>
      <c r="F135" s="5">
        <v>115</v>
      </c>
      <c r="G135" s="5" t="s">
        <v>21</v>
      </c>
      <c r="H135" s="5">
        <v>1200</v>
      </c>
      <c r="I135" s="5">
        <v>546</v>
      </c>
      <c r="J135" s="5">
        <v>11</v>
      </c>
      <c r="K135" s="5">
        <v>0</v>
      </c>
      <c r="L135" s="9">
        <f t="shared" si="9"/>
        <v>535</v>
      </c>
      <c r="M135" s="5">
        <f t="shared" si="10"/>
        <v>654</v>
      </c>
      <c r="N135" s="5"/>
    </row>
    <row r="136" spans="1:14" s="3" customFormat="1" x14ac:dyDescent="0.25">
      <c r="A136" s="5" t="s">
        <v>124</v>
      </c>
      <c r="B136" s="5" t="s">
        <v>6</v>
      </c>
      <c r="C136" s="5" t="s">
        <v>14</v>
      </c>
      <c r="D136" s="5" t="s">
        <v>17</v>
      </c>
      <c r="E136" s="5" t="s">
        <v>17</v>
      </c>
      <c r="F136" s="5">
        <v>100</v>
      </c>
      <c r="G136" s="5" t="s">
        <v>13</v>
      </c>
      <c r="H136" s="5">
        <v>280</v>
      </c>
      <c r="I136" s="5">
        <v>318</v>
      </c>
      <c r="J136" s="5">
        <v>28</v>
      </c>
      <c r="K136" s="5">
        <v>0</v>
      </c>
      <c r="L136" s="9">
        <f t="shared" si="9"/>
        <v>290</v>
      </c>
      <c r="M136" s="5">
        <f t="shared" si="10"/>
        <v>-38</v>
      </c>
      <c r="N136" s="5"/>
    </row>
    <row r="137" spans="1:14" s="3" customFormat="1" x14ac:dyDescent="0.25">
      <c r="A137" s="5" t="s">
        <v>124</v>
      </c>
      <c r="B137" s="5" t="s">
        <v>6</v>
      </c>
      <c r="C137" s="5" t="s">
        <v>7</v>
      </c>
      <c r="D137" s="5" t="s">
        <v>20</v>
      </c>
      <c r="E137" s="5" t="s">
        <v>20</v>
      </c>
      <c r="F137" s="5">
        <v>90</v>
      </c>
      <c r="G137" s="5" t="s">
        <v>13</v>
      </c>
      <c r="H137" s="5">
        <v>600</v>
      </c>
      <c r="I137" s="5">
        <v>580</v>
      </c>
      <c r="J137" s="5">
        <v>20</v>
      </c>
      <c r="K137" s="5">
        <v>0</v>
      </c>
      <c r="L137" s="9">
        <f t="shared" si="9"/>
        <v>560</v>
      </c>
      <c r="M137" s="5">
        <f t="shared" si="10"/>
        <v>20</v>
      </c>
      <c r="N137" s="5"/>
    </row>
    <row r="138" spans="1:14" s="3" customFormat="1" x14ac:dyDescent="0.25">
      <c r="A138" s="5" t="s">
        <v>124</v>
      </c>
      <c r="B138" s="5" t="s">
        <v>6</v>
      </c>
      <c r="C138" s="5" t="s">
        <v>7</v>
      </c>
      <c r="D138" s="5" t="s">
        <v>20</v>
      </c>
      <c r="E138" s="5" t="s">
        <v>20</v>
      </c>
      <c r="F138" s="5">
        <v>90</v>
      </c>
      <c r="G138" s="5" t="s">
        <v>21</v>
      </c>
      <c r="H138" s="5">
        <v>900</v>
      </c>
      <c r="I138" s="5">
        <v>880</v>
      </c>
      <c r="J138" s="5">
        <v>20</v>
      </c>
      <c r="K138" s="5">
        <v>0</v>
      </c>
      <c r="L138" s="9">
        <f t="shared" si="9"/>
        <v>860</v>
      </c>
      <c r="M138" s="5">
        <f t="shared" si="10"/>
        <v>20</v>
      </c>
      <c r="N138" s="5">
        <v>0</v>
      </c>
    </row>
    <row r="139" spans="1:14" s="3" customFormat="1" x14ac:dyDescent="0.25">
      <c r="A139" s="5" t="s">
        <v>124</v>
      </c>
      <c r="B139" s="5" t="s">
        <v>22</v>
      </c>
      <c r="C139" s="5" t="s">
        <v>18</v>
      </c>
      <c r="D139" s="5" t="s">
        <v>19</v>
      </c>
      <c r="E139" s="5" t="s">
        <v>19</v>
      </c>
      <c r="F139" s="5">
        <v>200</v>
      </c>
      <c r="G139" s="5" t="s">
        <v>13</v>
      </c>
      <c r="H139" s="5">
        <v>1764</v>
      </c>
      <c r="I139" s="5">
        <v>1482</v>
      </c>
      <c r="J139" s="5">
        <v>28</v>
      </c>
      <c r="K139" s="5">
        <v>0</v>
      </c>
      <c r="L139" s="9">
        <f t="shared" si="9"/>
        <v>1454</v>
      </c>
      <c r="M139" s="5">
        <f t="shared" si="10"/>
        <v>282</v>
      </c>
      <c r="N139" s="5"/>
    </row>
    <row r="140" spans="1:14" s="3" customFormat="1" x14ac:dyDescent="0.25">
      <c r="A140" s="5" t="s">
        <v>124</v>
      </c>
      <c r="B140" s="5" t="s">
        <v>22</v>
      </c>
      <c r="C140" s="5" t="s">
        <v>18</v>
      </c>
      <c r="D140" s="5" t="s">
        <v>19</v>
      </c>
      <c r="E140" s="5" t="s">
        <v>19</v>
      </c>
      <c r="F140" s="5">
        <v>200</v>
      </c>
      <c r="G140" s="5" t="s">
        <v>21</v>
      </c>
      <c r="H140" s="5">
        <v>1323</v>
      </c>
      <c r="I140" s="5">
        <v>1467</v>
      </c>
      <c r="J140" s="5">
        <v>23</v>
      </c>
      <c r="K140" s="5">
        <v>0</v>
      </c>
      <c r="L140" s="9">
        <f t="shared" si="9"/>
        <v>1444</v>
      </c>
      <c r="M140" s="5">
        <f t="shared" si="10"/>
        <v>-144</v>
      </c>
      <c r="N140" s="5"/>
    </row>
    <row r="141" spans="1:14" s="3" customFormat="1" x14ac:dyDescent="0.25">
      <c r="A141" s="5" t="s">
        <v>124</v>
      </c>
      <c r="B141" s="5" t="s">
        <v>23</v>
      </c>
      <c r="C141" s="5" t="s">
        <v>126</v>
      </c>
      <c r="D141" s="5" t="s">
        <v>127</v>
      </c>
      <c r="E141" s="5" t="s">
        <v>127</v>
      </c>
      <c r="F141" s="5">
        <v>45</v>
      </c>
      <c r="G141" s="5" t="s">
        <v>13</v>
      </c>
      <c r="H141" s="5">
        <v>640</v>
      </c>
      <c r="I141" s="5">
        <v>394</v>
      </c>
      <c r="J141" s="5">
        <v>15</v>
      </c>
      <c r="K141" s="5">
        <v>0</v>
      </c>
      <c r="L141" s="9">
        <f t="shared" si="9"/>
        <v>379</v>
      </c>
      <c r="M141" s="5">
        <f t="shared" si="10"/>
        <v>246</v>
      </c>
      <c r="N141" s="5"/>
    </row>
    <row r="142" spans="1:14" s="3" customFormat="1" x14ac:dyDescent="0.25">
      <c r="A142" s="5" t="s">
        <v>124</v>
      </c>
      <c r="B142" s="5" t="s">
        <v>23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/>
      <c r="I142" s="5">
        <v>0</v>
      </c>
      <c r="J142" s="5">
        <v>0</v>
      </c>
      <c r="K142" s="5">
        <v>0</v>
      </c>
      <c r="L142" s="9">
        <f t="shared" si="9"/>
        <v>0</v>
      </c>
      <c r="M142" s="5">
        <f t="shared" si="10"/>
        <v>0</v>
      </c>
      <c r="N142" s="5"/>
    </row>
    <row r="143" spans="1:14" s="3" customFormat="1" x14ac:dyDescent="0.25">
      <c r="A143" s="5" t="s">
        <v>124</v>
      </c>
      <c r="B143" s="5" t="s">
        <v>24</v>
      </c>
      <c r="C143" s="5" t="s">
        <v>73</v>
      </c>
      <c r="D143" s="11">
        <v>46053</v>
      </c>
      <c r="E143" s="11">
        <v>46053</v>
      </c>
      <c r="F143" s="5">
        <v>115</v>
      </c>
      <c r="G143" s="5" t="s">
        <v>13</v>
      </c>
      <c r="H143" s="5">
        <v>320</v>
      </c>
      <c r="I143" s="5">
        <v>972</v>
      </c>
      <c r="J143" s="5">
        <v>23</v>
      </c>
      <c r="K143" s="5">
        <v>0</v>
      </c>
      <c r="L143" s="9">
        <f t="shared" si="9"/>
        <v>949</v>
      </c>
      <c r="M143" s="5">
        <f t="shared" si="10"/>
        <v>-652</v>
      </c>
      <c r="N143" s="5">
        <v>0</v>
      </c>
    </row>
    <row r="144" spans="1:14" s="3" customFormat="1" x14ac:dyDescent="0.25">
      <c r="A144" s="5" t="s">
        <v>124</v>
      </c>
      <c r="B144" s="5" t="s">
        <v>24</v>
      </c>
      <c r="C144" s="5" t="s">
        <v>58</v>
      </c>
      <c r="D144" s="5" t="s">
        <v>59</v>
      </c>
      <c r="E144" s="5" t="s">
        <v>59</v>
      </c>
      <c r="F144" s="5">
        <v>100</v>
      </c>
      <c r="G144" s="5" t="s">
        <v>13</v>
      </c>
      <c r="H144" s="5">
        <v>240</v>
      </c>
      <c r="I144" s="5">
        <v>239</v>
      </c>
      <c r="J144" s="5">
        <v>11</v>
      </c>
      <c r="K144" s="5">
        <v>0</v>
      </c>
      <c r="L144" s="9">
        <f t="shared" si="9"/>
        <v>228</v>
      </c>
      <c r="M144" s="5">
        <f t="shared" si="10"/>
        <v>1</v>
      </c>
      <c r="N144" s="5"/>
    </row>
    <row r="145" spans="1:14" s="3" customFormat="1" x14ac:dyDescent="0.25">
      <c r="A145" s="5" t="s">
        <v>124</v>
      </c>
      <c r="B145" s="5" t="s">
        <v>24</v>
      </c>
      <c r="C145" s="5" t="s">
        <v>58</v>
      </c>
      <c r="D145" s="5" t="s">
        <v>59</v>
      </c>
      <c r="E145" s="5" t="s">
        <v>59</v>
      </c>
      <c r="F145" s="5">
        <v>100</v>
      </c>
      <c r="G145" s="5" t="s">
        <v>21</v>
      </c>
      <c r="H145" s="5">
        <v>1000</v>
      </c>
      <c r="I145" s="5">
        <v>1146</v>
      </c>
      <c r="J145" s="5">
        <v>12</v>
      </c>
      <c r="K145" s="5">
        <v>0</v>
      </c>
      <c r="L145" s="9">
        <f t="shared" si="9"/>
        <v>1134</v>
      </c>
      <c r="M145" s="5">
        <f t="shared" si="10"/>
        <v>-146</v>
      </c>
      <c r="N145" s="5"/>
    </row>
    <row r="146" spans="1:14" s="3" customFormat="1" x14ac:dyDescent="0.25">
      <c r="A146" s="5" t="s">
        <v>124</v>
      </c>
      <c r="B146" s="5" t="s">
        <v>34</v>
      </c>
      <c r="C146" s="5" t="s">
        <v>69</v>
      </c>
      <c r="D146" s="5" t="s">
        <v>29</v>
      </c>
      <c r="E146" s="5" t="s">
        <v>29</v>
      </c>
      <c r="F146" s="5">
        <v>180</v>
      </c>
      <c r="G146" s="5" t="s">
        <v>13</v>
      </c>
      <c r="H146" s="5">
        <v>882</v>
      </c>
      <c r="I146" s="5">
        <v>1221</v>
      </c>
      <c r="J146" s="5">
        <v>9</v>
      </c>
      <c r="K146" s="5">
        <v>0</v>
      </c>
      <c r="L146" s="9">
        <f t="shared" si="9"/>
        <v>1212</v>
      </c>
      <c r="M146" s="5">
        <f t="shared" si="10"/>
        <v>-339</v>
      </c>
      <c r="N146" s="5"/>
    </row>
    <row r="147" spans="1:14" s="3" customFormat="1" x14ac:dyDescent="0.25">
      <c r="A147" s="5" t="s">
        <v>124</v>
      </c>
      <c r="B147" s="5" t="s">
        <v>34</v>
      </c>
      <c r="C147" s="5" t="s">
        <v>39</v>
      </c>
      <c r="D147" s="5" t="s">
        <v>40</v>
      </c>
      <c r="E147" s="5" t="s">
        <v>40</v>
      </c>
      <c r="F147" s="5">
        <v>190</v>
      </c>
      <c r="G147" s="5" t="s">
        <v>13</v>
      </c>
      <c r="H147" s="5"/>
      <c r="I147" s="5">
        <v>637</v>
      </c>
      <c r="J147" s="5">
        <v>3</v>
      </c>
      <c r="K147" s="5">
        <v>0</v>
      </c>
      <c r="L147" s="9">
        <f t="shared" si="9"/>
        <v>634</v>
      </c>
      <c r="M147" s="5">
        <f t="shared" si="10"/>
        <v>-637</v>
      </c>
      <c r="N147" s="5"/>
    </row>
    <row r="148" spans="1:14" s="3" customFormat="1" x14ac:dyDescent="0.25">
      <c r="A148" s="5" t="s">
        <v>124</v>
      </c>
      <c r="B148" s="5" t="s">
        <v>34</v>
      </c>
      <c r="C148" s="5" t="s">
        <v>39</v>
      </c>
      <c r="D148" s="5" t="s">
        <v>40</v>
      </c>
      <c r="E148" s="5" t="s">
        <v>40</v>
      </c>
      <c r="F148" s="5">
        <v>190</v>
      </c>
      <c r="G148" s="5" t="s">
        <v>21</v>
      </c>
      <c r="H148" s="5">
        <v>1000</v>
      </c>
      <c r="I148" s="5">
        <v>999</v>
      </c>
      <c r="J148" s="5">
        <v>13</v>
      </c>
      <c r="K148" s="5">
        <v>0</v>
      </c>
      <c r="L148" s="9">
        <f t="shared" si="9"/>
        <v>986</v>
      </c>
      <c r="M148" s="5">
        <f t="shared" si="10"/>
        <v>1</v>
      </c>
      <c r="N148" s="5"/>
    </row>
    <row r="149" spans="1:14" s="3" customFormat="1" x14ac:dyDescent="0.25">
      <c r="A149" s="5" t="s">
        <v>124</v>
      </c>
      <c r="B149" s="5" t="s">
        <v>34</v>
      </c>
      <c r="C149" s="5" t="s">
        <v>122</v>
      </c>
      <c r="D149" s="5" t="s">
        <v>19</v>
      </c>
      <c r="E149" s="5" t="s">
        <v>19</v>
      </c>
      <c r="F149" s="5">
        <v>200</v>
      </c>
      <c r="G149" s="5" t="s">
        <v>21</v>
      </c>
      <c r="H149" s="5">
        <v>1000</v>
      </c>
      <c r="I149" s="5">
        <v>981</v>
      </c>
      <c r="J149" s="5">
        <v>31</v>
      </c>
      <c r="K149" s="5">
        <v>20</v>
      </c>
      <c r="L149" s="9">
        <f t="shared" si="9"/>
        <v>930</v>
      </c>
      <c r="M149" s="5">
        <f t="shared" si="10"/>
        <v>19</v>
      </c>
      <c r="N149" s="5"/>
    </row>
    <row r="150" spans="1:14" s="3" customFormat="1" x14ac:dyDescent="0.25">
      <c r="A150" s="5" t="s">
        <v>124</v>
      </c>
      <c r="B150" s="5" t="s">
        <v>37</v>
      </c>
      <c r="C150" s="5" t="s">
        <v>128</v>
      </c>
      <c r="D150" s="11">
        <v>46046</v>
      </c>
      <c r="E150" s="11">
        <v>46046</v>
      </c>
      <c r="F150" s="5">
        <v>150</v>
      </c>
      <c r="G150" s="5" t="s">
        <v>13</v>
      </c>
      <c r="H150" s="5">
        <v>1344</v>
      </c>
      <c r="I150" s="5">
        <v>1033</v>
      </c>
      <c r="J150" s="5">
        <v>5</v>
      </c>
      <c r="K150" s="5">
        <v>0</v>
      </c>
      <c r="L150" s="9">
        <f t="shared" si="9"/>
        <v>1028</v>
      </c>
      <c r="M150" s="5">
        <f t="shared" si="10"/>
        <v>311</v>
      </c>
      <c r="N150" s="5"/>
    </row>
    <row r="151" spans="1:14" s="3" customFormat="1" x14ac:dyDescent="0.25">
      <c r="A151" s="5" t="s">
        <v>124</v>
      </c>
      <c r="B151" s="5" t="s">
        <v>37</v>
      </c>
      <c r="C151" s="5" t="s">
        <v>129</v>
      </c>
      <c r="D151" s="5" t="s">
        <v>45</v>
      </c>
      <c r="E151" s="5" t="s">
        <v>45</v>
      </c>
      <c r="F151" s="5">
        <v>90</v>
      </c>
      <c r="G151" s="5" t="s">
        <v>13</v>
      </c>
      <c r="H151" s="5">
        <v>240</v>
      </c>
      <c r="I151" s="5">
        <v>236</v>
      </c>
      <c r="J151" s="5">
        <v>4</v>
      </c>
      <c r="K151" s="5">
        <v>0</v>
      </c>
      <c r="L151" s="9">
        <f t="shared" si="9"/>
        <v>232</v>
      </c>
      <c r="M151" s="5">
        <f t="shared" si="10"/>
        <v>4</v>
      </c>
      <c r="N151" s="5"/>
    </row>
    <row r="152" spans="1:14" s="3" customFormat="1" x14ac:dyDescent="0.25">
      <c r="A152" s="5" t="s">
        <v>124</v>
      </c>
      <c r="B152" s="5" t="s">
        <v>37</v>
      </c>
      <c r="C152" s="5" t="s">
        <v>130</v>
      </c>
      <c r="D152" s="5" t="s">
        <v>45</v>
      </c>
      <c r="E152" s="5" t="s">
        <v>45</v>
      </c>
      <c r="F152" s="5">
        <v>90</v>
      </c>
      <c r="G152" s="5" t="s">
        <v>21</v>
      </c>
      <c r="H152" s="5">
        <v>240</v>
      </c>
      <c r="I152" s="5">
        <v>218</v>
      </c>
      <c r="J152" s="5">
        <v>6</v>
      </c>
      <c r="K152" s="5">
        <v>0</v>
      </c>
      <c r="L152" s="9">
        <f t="shared" si="9"/>
        <v>212</v>
      </c>
      <c r="M152" s="5">
        <f t="shared" si="10"/>
        <v>22</v>
      </c>
      <c r="N152" s="5"/>
    </row>
    <row r="153" spans="1:14" s="3" customFormat="1" x14ac:dyDescent="0.25">
      <c r="A153" s="5" t="s">
        <v>124</v>
      </c>
      <c r="B153" s="5" t="s">
        <v>37</v>
      </c>
      <c r="C153" s="5" t="s">
        <v>44</v>
      </c>
      <c r="D153" s="5" t="s">
        <v>45</v>
      </c>
      <c r="E153" s="5" t="s">
        <v>45</v>
      </c>
      <c r="F153" s="5">
        <v>90</v>
      </c>
      <c r="G153" s="5" t="s">
        <v>21</v>
      </c>
      <c r="H153" s="5">
        <v>480</v>
      </c>
      <c r="I153" s="5">
        <v>400</v>
      </c>
      <c r="J153" s="5">
        <v>4</v>
      </c>
      <c r="K153" s="5">
        <v>0</v>
      </c>
      <c r="L153" s="9">
        <f t="shared" si="9"/>
        <v>396</v>
      </c>
      <c r="M153" s="5">
        <f t="shared" si="10"/>
        <v>80</v>
      </c>
      <c r="N153" s="5"/>
    </row>
    <row r="154" spans="1:14" s="3" customFormat="1" x14ac:dyDescent="0.25">
      <c r="A154" s="5" t="s">
        <v>124</v>
      </c>
      <c r="B154" s="5" t="s">
        <v>37</v>
      </c>
      <c r="C154" s="5" t="s">
        <v>131</v>
      </c>
      <c r="D154" s="5" t="s">
        <v>45</v>
      </c>
      <c r="E154" s="5" t="s">
        <v>45</v>
      </c>
      <c r="F154" s="5">
        <v>90</v>
      </c>
      <c r="G154" s="5" t="s">
        <v>21</v>
      </c>
      <c r="H154" s="5">
        <v>240</v>
      </c>
      <c r="I154" s="5">
        <v>305</v>
      </c>
      <c r="J154" s="5">
        <v>7</v>
      </c>
      <c r="K154" s="5">
        <v>0</v>
      </c>
      <c r="L154" s="9">
        <f t="shared" si="9"/>
        <v>298</v>
      </c>
      <c r="M154" s="5">
        <f t="shared" si="10"/>
        <v>-65</v>
      </c>
      <c r="N154" s="5"/>
    </row>
    <row r="155" spans="1:14" s="3" customFormat="1" x14ac:dyDescent="0.25">
      <c r="A155" s="5" t="s">
        <v>124</v>
      </c>
      <c r="B155" s="5" t="s">
        <v>38</v>
      </c>
      <c r="C155" s="5" t="s">
        <v>52</v>
      </c>
      <c r="D155" s="5" t="s">
        <v>42</v>
      </c>
      <c r="E155" s="5" t="s">
        <v>42</v>
      </c>
      <c r="F155" s="5">
        <v>120</v>
      </c>
      <c r="G155" s="5" t="s">
        <v>13</v>
      </c>
      <c r="H155" s="5">
        <v>720</v>
      </c>
      <c r="I155" s="5">
        <v>406</v>
      </c>
      <c r="J155" s="5">
        <v>14</v>
      </c>
      <c r="K155" s="5">
        <v>0</v>
      </c>
      <c r="L155" s="9">
        <f t="shared" si="9"/>
        <v>392</v>
      </c>
      <c r="M155" s="5">
        <f t="shared" si="10"/>
        <v>314</v>
      </c>
      <c r="N155" s="5"/>
    </row>
    <row r="156" spans="1:14" s="3" customFormat="1" x14ac:dyDescent="0.25">
      <c r="A156" s="5" t="s">
        <v>124</v>
      </c>
      <c r="B156" s="5" t="s">
        <v>38</v>
      </c>
      <c r="C156" s="5" t="s">
        <v>50</v>
      </c>
      <c r="D156" s="5" t="s">
        <v>133</v>
      </c>
      <c r="E156" s="5" t="s">
        <v>133</v>
      </c>
      <c r="F156" s="5">
        <v>240</v>
      </c>
      <c r="G156" s="5" t="s">
        <v>13</v>
      </c>
      <c r="H156" s="5">
        <v>2000</v>
      </c>
      <c r="I156" s="5">
        <v>1634</v>
      </c>
      <c r="J156" s="5">
        <v>6</v>
      </c>
      <c r="K156" s="5">
        <v>0</v>
      </c>
      <c r="L156" s="9">
        <f t="shared" si="9"/>
        <v>1628</v>
      </c>
      <c r="M156" s="5">
        <f t="shared" si="10"/>
        <v>366</v>
      </c>
      <c r="N156" s="5"/>
    </row>
    <row r="157" spans="1:14" s="3" customFormat="1" x14ac:dyDescent="0.25">
      <c r="A157" s="5" t="s">
        <v>124</v>
      </c>
      <c r="B157" s="5" t="s">
        <v>38</v>
      </c>
      <c r="C157" s="5" t="s">
        <v>50</v>
      </c>
      <c r="D157" s="5" t="s">
        <v>133</v>
      </c>
      <c r="E157" s="5" t="s">
        <v>133</v>
      </c>
      <c r="F157" s="5">
        <v>240</v>
      </c>
      <c r="G157" s="5" t="s">
        <v>21</v>
      </c>
      <c r="H157" s="5"/>
      <c r="I157" s="5">
        <v>230</v>
      </c>
      <c r="J157" s="5">
        <v>10</v>
      </c>
      <c r="K157" s="5">
        <v>0</v>
      </c>
      <c r="L157" s="9">
        <f t="shared" si="9"/>
        <v>220</v>
      </c>
      <c r="M157" s="5">
        <f t="shared" si="10"/>
        <v>-230</v>
      </c>
      <c r="N157" s="5"/>
    </row>
    <row r="158" spans="1:14" s="3" customFormat="1" x14ac:dyDescent="0.25">
      <c r="A158" s="5" t="s">
        <v>124</v>
      </c>
      <c r="B158" s="5" t="s">
        <v>38</v>
      </c>
      <c r="C158" s="5" t="s">
        <v>132</v>
      </c>
      <c r="D158" s="5" t="s">
        <v>133</v>
      </c>
      <c r="E158" s="5" t="s">
        <v>133</v>
      </c>
      <c r="F158" s="5">
        <v>240</v>
      </c>
      <c r="G158" s="5" t="s">
        <v>21</v>
      </c>
      <c r="H158" s="5"/>
      <c r="I158" s="5">
        <v>1290</v>
      </c>
      <c r="J158" s="5">
        <v>30</v>
      </c>
      <c r="K158" s="5">
        <v>0</v>
      </c>
      <c r="L158" s="9">
        <f t="shared" si="9"/>
        <v>1260</v>
      </c>
      <c r="M158" s="5">
        <f t="shared" si="10"/>
        <v>-1290</v>
      </c>
      <c r="N158" s="5"/>
    </row>
    <row r="159" spans="1:14" s="3" customFormat="1" x14ac:dyDescent="0.25">
      <c r="A159" s="5" t="s">
        <v>124</v>
      </c>
      <c r="B159" s="5" t="s">
        <v>38</v>
      </c>
      <c r="C159" s="5" t="s">
        <v>52</v>
      </c>
      <c r="D159" s="5" t="s">
        <v>42</v>
      </c>
      <c r="E159" s="5" t="s">
        <v>42</v>
      </c>
      <c r="F159" s="5">
        <v>120</v>
      </c>
      <c r="G159" s="5" t="s">
        <v>21</v>
      </c>
      <c r="H159" s="5"/>
      <c r="I159" s="5">
        <v>420</v>
      </c>
      <c r="J159" s="5">
        <v>20</v>
      </c>
      <c r="K159" s="5">
        <v>0</v>
      </c>
      <c r="L159" s="9">
        <f t="shared" si="9"/>
        <v>400</v>
      </c>
      <c r="M159" s="5">
        <f>H159-I159</f>
        <v>-420</v>
      </c>
      <c r="N159" s="5"/>
    </row>
    <row r="160" spans="1:14" s="3" customFormat="1" x14ac:dyDescent="0.25">
      <c r="A160" s="5" t="s">
        <v>124</v>
      </c>
      <c r="B160" s="5" t="s">
        <v>43</v>
      </c>
      <c r="C160" s="5" t="s">
        <v>60</v>
      </c>
      <c r="D160" s="5" t="s">
        <v>61</v>
      </c>
      <c r="E160" s="5" t="s">
        <v>61</v>
      </c>
      <c r="F160" s="5">
        <v>80</v>
      </c>
      <c r="G160" s="5" t="s">
        <v>13</v>
      </c>
      <c r="H160" s="5">
        <v>880</v>
      </c>
      <c r="I160" s="5">
        <v>872</v>
      </c>
      <c r="J160" s="5">
        <v>32</v>
      </c>
      <c r="K160" s="5">
        <v>0</v>
      </c>
      <c r="L160" s="9">
        <f t="shared" si="9"/>
        <v>840</v>
      </c>
      <c r="M160" s="5">
        <f t="shared" ref="M160:M276" si="11">H160-I160</f>
        <v>8</v>
      </c>
      <c r="N160" s="5"/>
    </row>
    <row r="161" spans="1:14" s="3" customFormat="1" x14ac:dyDescent="0.25">
      <c r="A161" s="5" t="s">
        <v>124</v>
      </c>
      <c r="B161" s="5" t="s">
        <v>43</v>
      </c>
      <c r="C161" s="5" t="s">
        <v>60</v>
      </c>
      <c r="D161" s="5" t="s">
        <v>61</v>
      </c>
      <c r="E161" s="5" t="s">
        <v>61</v>
      </c>
      <c r="F161" s="5">
        <v>80</v>
      </c>
      <c r="G161" s="5" t="s">
        <v>21</v>
      </c>
      <c r="H161" s="5">
        <v>400</v>
      </c>
      <c r="I161" s="5">
        <v>352</v>
      </c>
      <c r="J161" s="5">
        <v>5</v>
      </c>
      <c r="K161" s="5">
        <v>0</v>
      </c>
      <c r="L161" s="9">
        <f t="shared" si="9"/>
        <v>347</v>
      </c>
      <c r="M161" s="5">
        <f t="shared" si="11"/>
        <v>48</v>
      </c>
      <c r="N161" s="5"/>
    </row>
    <row r="162" spans="1:14" s="3" customFormat="1" x14ac:dyDescent="0.25">
      <c r="A162" s="5" t="s">
        <v>124</v>
      </c>
      <c r="B162" s="5" t="s">
        <v>43</v>
      </c>
      <c r="C162" s="5" t="s">
        <v>134</v>
      </c>
      <c r="D162" s="5" t="s">
        <v>135</v>
      </c>
      <c r="E162" s="5" t="s">
        <v>135</v>
      </c>
      <c r="F162" s="5">
        <v>56</v>
      </c>
      <c r="G162" s="5" t="s">
        <v>21</v>
      </c>
      <c r="H162" s="5">
        <v>400</v>
      </c>
      <c r="I162" s="5">
        <v>298</v>
      </c>
      <c r="J162" s="5">
        <v>30</v>
      </c>
      <c r="K162" s="5">
        <v>0</v>
      </c>
      <c r="L162" s="9">
        <f t="shared" si="9"/>
        <v>268</v>
      </c>
      <c r="M162" s="5">
        <f t="shared" si="11"/>
        <v>102</v>
      </c>
      <c r="N162" s="5"/>
    </row>
    <row r="163" spans="1:14" s="3" customFormat="1" x14ac:dyDescent="0.25">
      <c r="A163" s="5" t="s">
        <v>124</v>
      </c>
      <c r="B163" s="5" t="s">
        <v>48</v>
      </c>
      <c r="C163" s="5" t="s">
        <v>62</v>
      </c>
      <c r="D163" s="5" t="s">
        <v>61</v>
      </c>
      <c r="E163" s="5" t="s">
        <v>61</v>
      </c>
      <c r="F163" s="5">
        <v>80</v>
      </c>
      <c r="G163" s="5" t="s">
        <v>13</v>
      </c>
      <c r="H163" s="5">
        <v>880</v>
      </c>
      <c r="I163" s="5">
        <v>882</v>
      </c>
      <c r="J163" s="5">
        <v>20</v>
      </c>
      <c r="K163" s="5">
        <v>13</v>
      </c>
      <c r="L163" s="9">
        <f t="shared" si="9"/>
        <v>849</v>
      </c>
      <c r="M163" s="5">
        <f t="shared" si="11"/>
        <v>-2</v>
      </c>
      <c r="N163" s="5"/>
    </row>
    <row r="164" spans="1:14" s="3" customFormat="1" x14ac:dyDescent="0.25">
      <c r="A164" s="5" t="s">
        <v>124</v>
      </c>
      <c r="B164" s="5" t="s">
        <v>48</v>
      </c>
      <c r="C164" s="5" t="s">
        <v>62</v>
      </c>
      <c r="D164" s="5" t="s">
        <v>61</v>
      </c>
      <c r="E164" s="5" t="s">
        <v>61</v>
      </c>
      <c r="F164" s="5">
        <v>80</v>
      </c>
      <c r="G164" s="5" t="s">
        <v>21</v>
      </c>
      <c r="H164" s="5">
        <v>880</v>
      </c>
      <c r="I164" s="5">
        <v>838</v>
      </c>
      <c r="J164" s="5">
        <v>22</v>
      </c>
      <c r="K164" s="5">
        <v>0</v>
      </c>
      <c r="L164" s="9">
        <f t="shared" si="9"/>
        <v>816</v>
      </c>
      <c r="M164" s="5">
        <f t="shared" si="11"/>
        <v>42</v>
      </c>
      <c r="N164" s="5"/>
    </row>
    <row r="165" spans="1:14" s="3" customFormat="1" x14ac:dyDescent="0.25">
      <c r="A165" s="5" t="s">
        <v>124</v>
      </c>
      <c r="B165" s="5" t="s">
        <v>49</v>
      </c>
      <c r="C165" s="5" t="s">
        <v>64</v>
      </c>
      <c r="D165" s="11">
        <v>46077</v>
      </c>
      <c r="E165" s="11">
        <v>46077</v>
      </c>
      <c r="F165" s="5">
        <v>300</v>
      </c>
      <c r="G165" s="5" t="s">
        <v>13</v>
      </c>
      <c r="H165" s="5">
        <v>3150</v>
      </c>
      <c r="I165" s="5">
        <v>2234</v>
      </c>
      <c r="J165" s="5">
        <v>16</v>
      </c>
      <c r="K165" s="5">
        <v>0</v>
      </c>
      <c r="L165" s="9">
        <f t="shared" si="9"/>
        <v>2218</v>
      </c>
      <c r="M165" s="5">
        <f t="shared" si="11"/>
        <v>916</v>
      </c>
      <c r="N165" s="5"/>
    </row>
    <row r="166" spans="1:14" s="3" customFormat="1" x14ac:dyDescent="0.25">
      <c r="A166" s="5" t="s">
        <v>124</v>
      </c>
      <c r="B166" s="5" t="s">
        <v>49</v>
      </c>
      <c r="C166" s="5" t="s">
        <v>64</v>
      </c>
      <c r="D166" s="11">
        <v>46077</v>
      </c>
      <c r="E166" s="11">
        <v>46077</v>
      </c>
      <c r="F166" s="5">
        <v>300</v>
      </c>
      <c r="G166" s="5" t="s">
        <v>21</v>
      </c>
      <c r="H166" s="5">
        <v>3150</v>
      </c>
      <c r="I166" s="5">
        <v>3200</v>
      </c>
      <c r="J166" s="5">
        <v>50</v>
      </c>
      <c r="K166" s="5">
        <v>0</v>
      </c>
      <c r="L166" s="9">
        <f t="shared" si="9"/>
        <v>3150</v>
      </c>
      <c r="M166" s="5">
        <f t="shared" si="11"/>
        <v>-50</v>
      </c>
      <c r="N166" s="5"/>
    </row>
    <row r="167" spans="1:14" s="3" customFormat="1" x14ac:dyDescent="0.25">
      <c r="A167" s="5" t="s">
        <v>124</v>
      </c>
      <c r="B167" s="5" t="s">
        <v>55</v>
      </c>
      <c r="C167" s="5" t="s">
        <v>70</v>
      </c>
      <c r="D167" s="5" t="s">
        <v>19</v>
      </c>
      <c r="E167" s="5" t="s">
        <v>19</v>
      </c>
      <c r="F167" s="5">
        <v>200</v>
      </c>
      <c r="G167" s="5" t="s">
        <v>13</v>
      </c>
      <c r="H167" s="5">
        <v>2205</v>
      </c>
      <c r="I167" s="5">
        <v>2088</v>
      </c>
      <c r="J167" s="5">
        <v>42</v>
      </c>
      <c r="K167" s="5">
        <v>0</v>
      </c>
      <c r="L167" s="9">
        <f t="shared" si="9"/>
        <v>2046</v>
      </c>
      <c r="M167" s="5">
        <f t="shared" si="11"/>
        <v>117</v>
      </c>
      <c r="N167" s="5"/>
    </row>
    <row r="168" spans="1:14" s="3" customFormat="1" x14ac:dyDescent="0.25">
      <c r="A168" s="5" t="s">
        <v>124</v>
      </c>
      <c r="B168" s="5" t="s">
        <v>55</v>
      </c>
      <c r="C168" s="5" t="s">
        <v>70</v>
      </c>
      <c r="D168" s="5" t="s">
        <v>19</v>
      </c>
      <c r="E168" s="5" t="s">
        <v>19</v>
      </c>
      <c r="F168" s="5">
        <v>200</v>
      </c>
      <c r="G168" s="5" t="s">
        <v>21</v>
      </c>
      <c r="H168" s="5">
        <v>0</v>
      </c>
      <c r="I168" s="5">
        <v>2114</v>
      </c>
      <c r="J168" s="5">
        <v>50</v>
      </c>
      <c r="K168" s="5">
        <v>0</v>
      </c>
      <c r="L168" s="9">
        <f t="shared" si="9"/>
        <v>2064</v>
      </c>
      <c r="M168" s="5">
        <f t="shared" si="11"/>
        <v>-2114</v>
      </c>
      <c r="N168" s="5"/>
    </row>
    <row r="169" spans="1:14" s="3" customFormat="1" x14ac:dyDescent="0.25">
      <c r="A169" s="5" t="s">
        <v>124</v>
      </c>
      <c r="B169" s="5" t="s">
        <v>65</v>
      </c>
      <c r="C169" s="5" t="s">
        <v>47</v>
      </c>
      <c r="D169" s="5" t="s">
        <v>35</v>
      </c>
      <c r="E169" s="5" t="s">
        <v>35</v>
      </c>
      <c r="F169" s="5">
        <v>240</v>
      </c>
      <c r="G169" s="5" t="s">
        <v>13</v>
      </c>
      <c r="H169" s="5">
        <v>1200</v>
      </c>
      <c r="I169" s="5">
        <v>1065</v>
      </c>
      <c r="J169" s="5">
        <v>15</v>
      </c>
      <c r="K169" s="5">
        <v>0</v>
      </c>
      <c r="L169" s="9">
        <f t="shared" si="9"/>
        <v>1050</v>
      </c>
      <c r="M169" s="5">
        <f t="shared" si="11"/>
        <v>135</v>
      </c>
      <c r="N169" s="5"/>
    </row>
    <row r="170" spans="1:14" s="3" customFormat="1" x14ac:dyDescent="0.25">
      <c r="A170" s="5" t="s">
        <v>124</v>
      </c>
      <c r="B170" s="5" t="s">
        <v>65</v>
      </c>
      <c r="C170" s="5" t="s">
        <v>137</v>
      </c>
      <c r="D170" s="5" t="s">
        <v>19</v>
      </c>
      <c r="E170" s="5" t="s">
        <v>19</v>
      </c>
      <c r="F170" s="5">
        <v>200</v>
      </c>
      <c r="G170" s="5" t="s">
        <v>13</v>
      </c>
      <c r="H170" s="5">
        <v>1600</v>
      </c>
      <c r="I170" s="5">
        <v>1018</v>
      </c>
      <c r="J170" s="5">
        <v>20</v>
      </c>
      <c r="K170" s="5">
        <v>0</v>
      </c>
      <c r="L170" s="9">
        <f t="shared" si="9"/>
        <v>998</v>
      </c>
      <c r="M170" s="5">
        <f t="shared" si="11"/>
        <v>582</v>
      </c>
      <c r="N170" s="5"/>
    </row>
    <row r="171" spans="1:14" s="3" customFormat="1" x14ac:dyDescent="0.25">
      <c r="A171" s="5" t="s">
        <v>124</v>
      </c>
      <c r="B171" s="5" t="s">
        <v>65</v>
      </c>
      <c r="C171" s="5" t="s">
        <v>92</v>
      </c>
      <c r="D171" s="5" t="s">
        <v>46</v>
      </c>
      <c r="E171" s="5" t="s">
        <v>46</v>
      </c>
      <c r="F171" s="5">
        <v>360</v>
      </c>
      <c r="G171" s="5" t="s">
        <v>21</v>
      </c>
      <c r="H171" s="5">
        <v>0</v>
      </c>
      <c r="I171" s="5">
        <v>1106</v>
      </c>
      <c r="J171" s="5">
        <v>50</v>
      </c>
      <c r="K171" s="5">
        <v>44</v>
      </c>
      <c r="L171" s="9">
        <f t="shared" si="9"/>
        <v>1012</v>
      </c>
      <c r="M171" s="5">
        <f t="shared" si="11"/>
        <v>-1106</v>
      </c>
      <c r="N171" s="5"/>
    </row>
    <row r="172" spans="1:14" s="3" customFormat="1" x14ac:dyDescent="0.25">
      <c r="A172" s="5" t="s">
        <v>124</v>
      </c>
      <c r="B172" s="5" t="s">
        <v>65</v>
      </c>
      <c r="C172" s="5" t="s">
        <v>138</v>
      </c>
      <c r="D172" s="5" t="s">
        <v>29</v>
      </c>
      <c r="E172" s="5" t="s">
        <v>29</v>
      </c>
      <c r="F172" s="5">
        <v>180</v>
      </c>
      <c r="G172" s="5" t="s">
        <v>21</v>
      </c>
      <c r="H172" s="5">
        <v>0</v>
      </c>
      <c r="I172" s="5">
        <v>625</v>
      </c>
      <c r="J172" s="5">
        <v>15</v>
      </c>
      <c r="K172" s="5">
        <v>0</v>
      </c>
      <c r="L172" s="9">
        <f t="shared" si="9"/>
        <v>610</v>
      </c>
      <c r="M172" s="5">
        <f t="shared" si="11"/>
        <v>-625</v>
      </c>
      <c r="N172" s="5"/>
    </row>
    <row r="173" spans="1:14" s="3" customFormat="1" x14ac:dyDescent="0.25">
      <c r="A173" s="5" t="s">
        <v>124</v>
      </c>
      <c r="B173" s="5" t="s">
        <v>66</v>
      </c>
      <c r="C173" s="5" t="s">
        <v>73</v>
      </c>
      <c r="D173" s="11">
        <v>46053</v>
      </c>
      <c r="E173" s="11">
        <v>46053</v>
      </c>
      <c r="F173" s="5">
        <v>115</v>
      </c>
      <c r="G173" s="5" t="s">
        <v>13</v>
      </c>
      <c r="H173" s="5">
        <v>1200</v>
      </c>
      <c r="I173" s="5">
        <v>1340</v>
      </c>
      <c r="J173" s="5">
        <v>13</v>
      </c>
      <c r="K173" s="5">
        <v>7</v>
      </c>
      <c r="L173" s="9">
        <f t="shared" si="9"/>
        <v>1320</v>
      </c>
      <c r="M173" s="5">
        <f t="shared" si="11"/>
        <v>-140</v>
      </c>
      <c r="N173" s="5"/>
    </row>
    <row r="174" spans="1:14" s="3" customFormat="1" x14ac:dyDescent="0.25">
      <c r="A174" s="5" t="s">
        <v>124</v>
      </c>
      <c r="B174" s="5" t="s">
        <v>66</v>
      </c>
      <c r="C174" s="5" t="s">
        <v>73</v>
      </c>
      <c r="D174" s="11">
        <v>46053</v>
      </c>
      <c r="E174" s="11">
        <v>46053</v>
      </c>
      <c r="F174" s="5">
        <v>115</v>
      </c>
      <c r="G174" s="5" t="s">
        <v>21</v>
      </c>
      <c r="H174" s="5">
        <v>1200</v>
      </c>
      <c r="I174" s="5">
        <v>1179</v>
      </c>
      <c r="J174" s="5">
        <v>41</v>
      </c>
      <c r="K174" s="5">
        <v>0</v>
      </c>
      <c r="L174" s="9">
        <f t="shared" si="9"/>
        <v>1138</v>
      </c>
      <c r="M174" s="5">
        <f t="shared" si="11"/>
        <v>21</v>
      </c>
      <c r="N174" s="5"/>
    </row>
    <row r="175" spans="1:14" s="3" customFormat="1" x14ac:dyDescent="0.25">
      <c r="A175" s="5" t="s">
        <v>124</v>
      </c>
      <c r="B175" s="5" t="s">
        <v>67</v>
      </c>
      <c r="C175" s="5" t="s">
        <v>74</v>
      </c>
      <c r="D175" s="11">
        <v>46047</v>
      </c>
      <c r="E175" s="11">
        <v>46047</v>
      </c>
      <c r="F175" s="5">
        <v>140</v>
      </c>
      <c r="G175" s="5" t="s">
        <v>13</v>
      </c>
      <c r="H175" s="5">
        <v>1440</v>
      </c>
      <c r="I175" s="5">
        <v>1390</v>
      </c>
      <c r="J175" s="5">
        <v>20</v>
      </c>
      <c r="K175" s="5">
        <v>0</v>
      </c>
      <c r="L175" s="9">
        <f t="shared" si="9"/>
        <v>1370</v>
      </c>
      <c r="M175" s="5">
        <f t="shared" si="11"/>
        <v>50</v>
      </c>
      <c r="N175" s="5"/>
    </row>
    <row r="176" spans="1:14" s="3" customFormat="1" x14ac:dyDescent="0.25">
      <c r="A176" s="5" t="s">
        <v>124</v>
      </c>
      <c r="B176" s="5" t="s">
        <v>67</v>
      </c>
      <c r="C176" s="5" t="s">
        <v>74</v>
      </c>
      <c r="D176" s="11">
        <v>46047</v>
      </c>
      <c r="E176" s="11">
        <v>46047</v>
      </c>
      <c r="F176" s="5">
        <v>140</v>
      </c>
      <c r="G176" s="5" t="s">
        <v>21</v>
      </c>
      <c r="H176" s="5">
        <v>1440</v>
      </c>
      <c r="I176" s="5">
        <v>1460</v>
      </c>
      <c r="J176" s="5">
        <v>30</v>
      </c>
      <c r="K176" s="5">
        <v>0</v>
      </c>
      <c r="L176" s="9">
        <f t="shared" si="9"/>
        <v>1430</v>
      </c>
      <c r="M176" s="5">
        <f t="shared" si="11"/>
        <v>-20</v>
      </c>
      <c r="N176" s="5"/>
    </row>
    <row r="177" spans="1:14" s="3" customFormat="1" x14ac:dyDescent="0.25">
      <c r="A177" s="5" t="s">
        <v>124</v>
      </c>
      <c r="B177" s="5" t="s">
        <v>139</v>
      </c>
      <c r="C177" s="5" t="s">
        <v>143</v>
      </c>
      <c r="D177" s="11" t="s">
        <v>99</v>
      </c>
      <c r="E177" s="11" t="s">
        <v>99</v>
      </c>
      <c r="F177" s="5">
        <v>140</v>
      </c>
      <c r="G177" s="5" t="s">
        <v>13</v>
      </c>
      <c r="H177" s="5">
        <v>576</v>
      </c>
      <c r="I177" s="5">
        <v>456</v>
      </c>
      <c r="J177" s="5">
        <v>10</v>
      </c>
      <c r="K177" s="5">
        <v>0</v>
      </c>
      <c r="L177" s="9">
        <v>456</v>
      </c>
      <c r="M177" s="5">
        <f t="shared" si="11"/>
        <v>120</v>
      </c>
      <c r="N177" s="5"/>
    </row>
    <row r="178" spans="1:14" s="3" customFormat="1" x14ac:dyDescent="0.25">
      <c r="A178" s="5" t="s">
        <v>124</v>
      </c>
      <c r="B178" s="5" t="s">
        <v>139</v>
      </c>
      <c r="C178" s="5" t="s">
        <v>144</v>
      </c>
      <c r="D178" s="11" t="s">
        <v>99</v>
      </c>
      <c r="E178" s="11" t="s">
        <v>99</v>
      </c>
      <c r="F178" s="5">
        <v>140</v>
      </c>
      <c r="G178" s="5" t="s">
        <v>13</v>
      </c>
      <c r="H178" s="5">
        <v>576</v>
      </c>
      <c r="I178" s="5">
        <v>578</v>
      </c>
      <c r="J178" s="5">
        <v>10</v>
      </c>
      <c r="K178" s="5">
        <v>0</v>
      </c>
      <c r="L178" s="9">
        <f t="shared" si="9"/>
        <v>568</v>
      </c>
      <c r="M178" s="5">
        <f t="shared" si="11"/>
        <v>-2</v>
      </c>
      <c r="N178" s="5"/>
    </row>
    <row r="179" spans="1:14" s="3" customFormat="1" x14ac:dyDescent="0.25">
      <c r="A179" s="5" t="s">
        <v>124</v>
      </c>
      <c r="B179" s="5" t="s">
        <v>139</v>
      </c>
      <c r="C179" s="5" t="s">
        <v>144</v>
      </c>
      <c r="D179" s="11" t="s">
        <v>99</v>
      </c>
      <c r="E179" s="11" t="s">
        <v>99</v>
      </c>
      <c r="F179" s="5">
        <v>140</v>
      </c>
      <c r="G179" s="5" t="s">
        <v>21</v>
      </c>
      <c r="H179" s="5">
        <v>576</v>
      </c>
      <c r="I179" s="5">
        <v>680</v>
      </c>
      <c r="J179" s="5">
        <v>20</v>
      </c>
      <c r="K179" s="5">
        <v>0</v>
      </c>
      <c r="L179" s="9">
        <f t="shared" si="9"/>
        <v>660</v>
      </c>
      <c r="M179" s="5">
        <f t="shared" si="11"/>
        <v>-104</v>
      </c>
      <c r="N179" s="5"/>
    </row>
    <row r="180" spans="1:14" s="3" customFormat="1" x14ac:dyDescent="0.25">
      <c r="A180" s="5" t="s">
        <v>124</v>
      </c>
      <c r="B180" s="5" t="s">
        <v>139</v>
      </c>
      <c r="C180" s="5" t="s">
        <v>140</v>
      </c>
      <c r="D180" s="11" t="s">
        <v>99</v>
      </c>
      <c r="E180" s="11" t="s">
        <v>17</v>
      </c>
      <c r="F180" s="5">
        <v>140</v>
      </c>
      <c r="G180" s="5" t="s">
        <v>21</v>
      </c>
      <c r="H180" s="5">
        <v>600</v>
      </c>
      <c r="I180" s="5">
        <v>580</v>
      </c>
      <c r="J180" s="5">
        <v>18</v>
      </c>
      <c r="K180" s="5">
        <v>0</v>
      </c>
      <c r="L180" s="9">
        <f t="shared" si="9"/>
        <v>562</v>
      </c>
      <c r="M180" s="5">
        <f t="shared" si="11"/>
        <v>20</v>
      </c>
      <c r="N180" s="5"/>
    </row>
    <row r="181" spans="1:14" s="3" customFormat="1" x14ac:dyDescent="0.25">
      <c r="A181" s="5" t="s">
        <v>124</v>
      </c>
      <c r="B181" s="5" t="s">
        <v>145</v>
      </c>
      <c r="C181" s="5" t="s">
        <v>41</v>
      </c>
      <c r="D181" s="11" t="s">
        <v>42</v>
      </c>
      <c r="E181" s="11" t="s">
        <v>42</v>
      </c>
      <c r="F181" s="5">
        <v>120</v>
      </c>
      <c r="G181" s="5" t="s">
        <v>13</v>
      </c>
      <c r="H181" s="5">
        <v>480</v>
      </c>
      <c r="I181" s="5">
        <v>1262</v>
      </c>
      <c r="J181" s="5">
        <v>18</v>
      </c>
      <c r="K181" s="5">
        <v>0</v>
      </c>
      <c r="L181" s="9">
        <f t="shared" si="9"/>
        <v>1244</v>
      </c>
      <c r="M181" s="5">
        <f t="shared" si="11"/>
        <v>-782</v>
      </c>
      <c r="N181" s="5"/>
    </row>
    <row r="182" spans="1:14" s="3" customFormat="1" x14ac:dyDescent="0.25">
      <c r="A182" s="5" t="s">
        <v>124</v>
      </c>
      <c r="B182" s="5" t="s">
        <v>145</v>
      </c>
      <c r="C182" s="5" t="s">
        <v>41</v>
      </c>
      <c r="D182" s="11" t="s">
        <v>42</v>
      </c>
      <c r="E182" s="11" t="s">
        <v>42</v>
      </c>
      <c r="F182" s="5">
        <v>120</v>
      </c>
      <c r="G182" s="5" t="s">
        <v>21</v>
      </c>
      <c r="H182" s="5">
        <v>480</v>
      </c>
      <c r="I182" s="5">
        <v>274</v>
      </c>
      <c r="J182" s="5">
        <v>6</v>
      </c>
      <c r="K182" s="5">
        <v>0</v>
      </c>
      <c r="L182" s="9">
        <f t="shared" si="9"/>
        <v>268</v>
      </c>
      <c r="M182" s="5">
        <f t="shared" si="11"/>
        <v>206</v>
      </c>
      <c r="N182" s="5"/>
    </row>
    <row r="183" spans="1:14" s="3" customFormat="1" x14ac:dyDescent="0.25">
      <c r="A183" s="5" t="s">
        <v>124</v>
      </c>
      <c r="B183" s="5" t="s">
        <v>145</v>
      </c>
      <c r="C183" s="5" t="s">
        <v>79</v>
      </c>
      <c r="D183" s="11" t="s">
        <v>42</v>
      </c>
      <c r="E183" s="11" t="s">
        <v>42</v>
      </c>
      <c r="F183" s="5">
        <v>120</v>
      </c>
      <c r="G183" s="5" t="s">
        <v>21</v>
      </c>
      <c r="H183" s="5">
        <v>180</v>
      </c>
      <c r="I183" s="5">
        <v>829</v>
      </c>
      <c r="J183" s="5">
        <v>11</v>
      </c>
      <c r="K183" s="5">
        <v>0</v>
      </c>
      <c r="L183" s="9">
        <f t="shared" si="9"/>
        <v>818</v>
      </c>
      <c r="M183" s="5">
        <f t="shared" si="11"/>
        <v>-649</v>
      </c>
      <c r="N183" s="5"/>
    </row>
    <row r="184" spans="1:14" s="3" customFormat="1" x14ac:dyDescent="0.25">
      <c r="A184" s="5" t="s">
        <v>124</v>
      </c>
      <c r="B184" s="5" t="s">
        <v>142</v>
      </c>
      <c r="C184" s="5" t="s">
        <v>76</v>
      </c>
      <c r="D184" s="11" t="s">
        <v>77</v>
      </c>
      <c r="E184" s="11" t="s">
        <v>77</v>
      </c>
      <c r="F184" s="5">
        <v>230</v>
      </c>
      <c r="G184" s="5" t="s">
        <v>13</v>
      </c>
      <c r="H184" s="5">
        <v>2160</v>
      </c>
      <c r="I184" s="5">
        <v>2154</v>
      </c>
      <c r="J184" s="5">
        <v>28</v>
      </c>
      <c r="K184" s="5">
        <v>0</v>
      </c>
      <c r="L184" s="9">
        <f t="shared" si="9"/>
        <v>2126</v>
      </c>
      <c r="M184" s="5">
        <f t="shared" si="11"/>
        <v>6</v>
      </c>
      <c r="N184" s="5"/>
    </row>
    <row r="185" spans="1:14" s="3" customFormat="1" x14ac:dyDescent="0.25">
      <c r="A185" s="5" t="s">
        <v>124</v>
      </c>
      <c r="B185" s="5" t="s">
        <v>142</v>
      </c>
      <c r="C185" s="5" t="s">
        <v>76</v>
      </c>
      <c r="D185" s="11" t="s">
        <v>77</v>
      </c>
      <c r="E185" s="11" t="s">
        <v>77</v>
      </c>
      <c r="F185" s="5">
        <v>230</v>
      </c>
      <c r="G185" s="5" t="s">
        <v>21</v>
      </c>
      <c r="H185" s="5">
        <v>2160</v>
      </c>
      <c r="I185" s="5">
        <v>1285</v>
      </c>
      <c r="J185" s="5">
        <v>20</v>
      </c>
      <c r="K185" s="5">
        <v>0</v>
      </c>
      <c r="L185" s="9">
        <f t="shared" si="9"/>
        <v>1265</v>
      </c>
      <c r="M185" s="5">
        <f t="shared" si="11"/>
        <v>875</v>
      </c>
      <c r="N185" s="5"/>
    </row>
    <row r="186" spans="1:14" s="3" customFormat="1" x14ac:dyDescent="0.25">
      <c r="A186" s="5" t="s">
        <v>124</v>
      </c>
      <c r="B186" s="5" t="s">
        <v>80</v>
      </c>
      <c r="C186" s="5" t="s">
        <v>81</v>
      </c>
      <c r="D186" s="11">
        <v>46078</v>
      </c>
      <c r="E186" s="11" t="s">
        <v>146</v>
      </c>
      <c r="F186" s="5">
        <v>280</v>
      </c>
      <c r="G186" s="5" t="s">
        <v>13</v>
      </c>
      <c r="H186" s="5">
        <v>3240</v>
      </c>
      <c r="I186" s="5">
        <v>1280</v>
      </c>
      <c r="J186" s="5">
        <v>20</v>
      </c>
      <c r="K186" s="5">
        <v>0</v>
      </c>
      <c r="L186" s="9">
        <f t="shared" si="9"/>
        <v>1260</v>
      </c>
      <c r="M186" s="5">
        <f t="shared" si="11"/>
        <v>1960</v>
      </c>
      <c r="N186" s="5"/>
    </row>
    <row r="187" spans="1:14" s="3" customFormat="1" x14ac:dyDescent="0.25">
      <c r="A187" s="5" t="s">
        <v>124</v>
      </c>
      <c r="B187" s="5" t="s">
        <v>80</v>
      </c>
      <c r="C187" s="5" t="s">
        <v>81</v>
      </c>
      <c r="D187" s="11" t="s">
        <v>146</v>
      </c>
      <c r="E187" s="11" t="s">
        <v>146</v>
      </c>
      <c r="F187" s="5">
        <v>280</v>
      </c>
      <c r="G187" s="5" t="s">
        <v>21</v>
      </c>
      <c r="H187" s="5">
        <v>3240</v>
      </c>
      <c r="I187" s="5">
        <v>3020</v>
      </c>
      <c r="J187" s="5">
        <v>10</v>
      </c>
      <c r="K187" s="5">
        <v>0</v>
      </c>
      <c r="L187" s="9">
        <f t="shared" ref="L187:L272" si="12">I187 - (J187+K187)</f>
        <v>3010</v>
      </c>
      <c r="M187" s="5">
        <f t="shared" si="11"/>
        <v>220</v>
      </c>
      <c r="N187" s="5"/>
    </row>
    <row r="188" spans="1:14" s="3" customFormat="1" x14ac:dyDescent="0.25">
      <c r="A188" s="5" t="s">
        <v>124</v>
      </c>
      <c r="B188" s="5" t="s">
        <v>82</v>
      </c>
      <c r="C188" s="5" t="s">
        <v>83</v>
      </c>
      <c r="D188" s="11" t="s">
        <v>35</v>
      </c>
      <c r="E188" s="11" t="s">
        <v>35</v>
      </c>
      <c r="F188" s="5">
        <v>240</v>
      </c>
      <c r="G188" s="5" t="s">
        <v>13</v>
      </c>
      <c r="H188" s="5">
        <v>2520</v>
      </c>
      <c r="I188" s="5">
        <v>2340</v>
      </c>
      <c r="J188" s="5">
        <v>100</v>
      </c>
      <c r="K188" s="5">
        <v>0</v>
      </c>
      <c r="L188" s="9">
        <f t="shared" si="12"/>
        <v>2240</v>
      </c>
      <c r="M188" s="5">
        <f t="shared" si="11"/>
        <v>180</v>
      </c>
      <c r="N188" s="5"/>
    </row>
    <row r="189" spans="1:14" s="3" customFormat="1" x14ac:dyDescent="0.25">
      <c r="A189" s="5" t="s">
        <v>124</v>
      </c>
      <c r="B189" s="5" t="s">
        <v>82</v>
      </c>
      <c r="C189" s="5" t="s">
        <v>83</v>
      </c>
      <c r="D189" s="11" t="s">
        <v>35</v>
      </c>
      <c r="E189" s="11" t="s">
        <v>35</v>
      </c>
      <c r="F189" s="5">
        <v>240</v>
      </c>
      <c r="G189" s="5" t="s">
        <v>21</v>
      </c>
      <c r="H189" s="5">
        <v>2520</v>
      </c>
      <c r="I189" s="5">
        <v>2500</v>
      </c>
      <c r="J189" s="5">
        <v>100</v>
      </c>
      <c r="K189" s="5">
        <v>0</v>
      </c>
      <c r="L189" s="9">
        <f t="shared" si="12"/>
        <v>2400</v>
      </c>
      <c r="M189" s="5">
        <f t="shared" si="11"/>
        <v>20</v>
      </c>
      <c r="N189" s="5"/>
    </row>
    <row r="190" spans="1:14" s="3" customFormat="1" x14ac:dyDescent="0.25">
      <c r="A190" s="5" t="s">
        <v>124</v>
      </c>
      <c r="B190" s="5" t="s">
        <v>84</v>
      </c>
      <c r="C190" s="5" t="s">
        <v>85</v>
      </c>
      <c r="D190" s="11" t="s">
        <v>99</v>
      </c>
      <c r="E190" s="11" t="s">
        <v>99</v>
      </c>
      <c r="F190" s="5">
        <v>140</v>
      </c>
      <c r="G190" s="5" t="s">
        <v>13</v>
      </c>
      <c r="H190" s="5">
        <v>1440</v>
      </c>
      <c r="I190" s="5">
        <v>1538</v>
      </c>
      <c r="J190" s="5">
        <v>18</v>
      </c>
      <c r="K190" s="5">
        <v>0</v>
      </c>
      <c r="L190" s="9">
        <f t="shared" si="12"/>
        <v>1520</v>
      </c>
      <c r="M190" s="5">
        <f t="shared" si="11"/>
        <v>-98</v>
      </c>
      <c r="N190" s="5"/>
    </row>
    <row r="191" spans="1:14" s="3" customFormat="1" x14ac:dyDescent="0.25">
      <c r="A191" s="5" t="s">
        <v>124</v>
      </c>
      <c r="B191" s="5" t="s">
        <v>84</v>
      </c>
      <c r="C191" s="5" t="s">
        <v>85</v>
      </c>
      <c r="D191" s="11" t="s">
        <v>99</v>
      </c>
      <c r="E191" s="11" t="s">
        <v>99</v>
      </c>
      <c r="F191" s="5">
        <v>140</v>
      </c>
      <c r="G191" s="5" t="s">
        <v>21</v>
      </c>
      <c r="H191" s="5">
        <v>1440</v>
      </c>
      <c r="I191" s="5">
        <v>1466</v>
      </c>
      <c r="J191" s="5">
        <v>26</v>
      </c>
      <c r="K191" s="5">
        <v>0</v>
      </c>
      <c r="L191" s="9">
        <f t="shared" si="12"/>
        <v>1440</v>
      </c>
      <c r="M191" s="5">
        <f t="shared" si="11"/>
        <v>-26</v>
      </c>
      <c r="N191" s="5"/>
    </row>
    <row r="192" spans="1:14" s="3" customFormat="1" x14ac:dyDescent="0.25">
      <c r="A192" s="5" t="s">
        <v>124</v>
      </c>
      <c r="B192" s="5" t="s">
        <v>87</v>
      </c>
      <c r="C192" s="5" t="s">
        <v>88</v>
      </c>
      <c r="D192" s="11" t="s">
        <v>147</v>
      </c>
      <c r="E192" s="11" t="s">
        <v>147</v>
      </c>
      <c r="F192" s="5">
        <v>310</v>
      </c>
      <c r="G192" s="5" t="s">
        <v>13</v>
      </c>
      <c r="H192" s="5">
        <v>4000</v>
      </c>
      <c r="I192" s="5">
        <v>2685</v>
      </c>
      <c r="J192" s="5">
        <v>35</v>
      </c>
      <c r="K192" s="5">
        <v>0</v>
      </c>
      <c r="L192" s="9">
        <f t="shared" si="12"/>
        <v>2650</v>
      </c>
      <c r="M192" s="5">
        <f t="shared" si="11"/>
        <v>1315</v>
      </c>
      <c r="N192" s="5"/>
    </row>
    <row r="193" spans="1:14" s="3" customFormat="1" x14ac:dyDescent="0.25">
      <c r="A193" s="5" t="s">
        <v>124</v>
      </c>
      <c r="B193" s="5" t="s">
        <v>87</v>
      </c>
      <c r="C193" s="5" t="s">
        <v>88</v>
      </c>
      <c r="D193" s="11" t="s">
        <v>147</v>
      </c>
      <c r="E193" s="11" t="s">
        <v>147</v>
      </c>
      <c r="F193" s="5">
        <v>310</v>
      </c>
      <c r="G193" s="5" t="s">
        <v>21</v>
      </c>
      <c r="H193" s="5">
        <v>4000</v>
      </c>
      <c r="I193" s="5">
        <v>3180</v>
      </c>
      <c r="J193" s="5">
        <v>20</v>
      </c>
      <c r="K193" s="5">
        <v>0</v>
      </c>
      <c r="L193" s="9">
        <f t="shared" si="12"/>
        <v>3160</v>
      </c>
      <c r="M193" s="5">
        <f t="shared" si="11"/>
        <v>820</v>
      </c>
      <c r="N193" s="5"/>
    </row>
    <row r="194" spans="1:14" s="3" customFormat="1" x14ac:dyDescent="0.25">
      <c r="A194" s="5" t="s">
        <v>124</v>
      </c>
      <c r="B194" s="5" t="s">
        <v>89</v>
      </c>
      <c r="C194" s="5" t="s">
        <v>88</v>
      </c>
      <c r="D194" s="11" t="s">
        <v>147</v>
      </c>
      <c r="E194" s="11" t="s">
        <v>147</v>
      </c>
      <c r="F194" s="5">
        <v>310</v>
      </c>
      <c r="G194" s="5" t="s">
        <v>13</v>
      </c>
      <c r="H194" s="5">
        <v>3200</v>
      </c>
      <c r="I194" s="5">
        <v>3228</v>
      </c>
      <c r="J194" s="5">
        <v>24</v>
      </c>
      <c r="K194" s="5">
        <v>0</v>
      </c>
      <c r="L194" s="9">
        <f t="shared" si="12"/>
        <v>3204</v>
      </c>
      <c r="M194" s="5">
        <f t="shared" si="11"/>
        <v>-28</v>
      </c>
      <c r="N194" s="5"/>
    </row>
    <row r="195" spans="1:14" s="3" customFormat="1" x14ac:dyDescent="0.25">
      <c r="A195" s="5" t="s">
        <v>124</v>
      </c>
      <c r="B195" s="5" t="s">
        <v>89</v>
      </c>
      <c r="C195" s="5" t="s">
        <v>88</v>
      </c>
      <c r="D195" s="11" t="s">
        <v>147</v>
      </c>
      <c r="E195" s="11" t="s">
        <v>147</v>
      </c>
      <c r="F195" s="5">
        <v>310</v>
      </c>
      <c r="G195" s="5" t="s">
        <v>21</v>
      </c>
      <c r="H195" s="5">
        <v>3200</v>
      </c>
      <c r="I195" s="5">
        <v>3276</v>
      </c>
      <c r="J195" s="5">
        <v>14</v>
      </c>
      <c r="K195" s="5">
        <v>0</v>
      </c>
      <c r="L195" s="9">
        <f t="shared" si="12"/>
        <v>3262</v>
      </c>
      <c r="M195" s="5">
        <f t="shared" si="11"/>
        <v>-76</v>
      </c>
      <c r="N195" s="5"/>
    </row>
    <row r="196" spans="1:14" s="3" customFormat="1" x14ac:dyDescent="0.25">
      <c r="A196" s="5" t="s">
        <v>124</v>
      </c>
      <c r="B196" s="5" t="s">
        <v>90</v>
      </c>
      <c r="C196" s="5" t="s">
        <v>93</v>
      </c>
      <c r="D196" s="11" t="s">
        <v>19</v>
      </c>
      <c r="E196" s="11" t="s">
        <v>19</v>
      </c>
      <c r="F196" s="5">
        <v>200</v>
      </c>
      <c r="G196" s="5" t="s">
        <v>13</v>
      </c>
      <c r="H196" s="5">
        <v>2100</v>
      </c>
      <c r="I196" s="5">
        <v>1616</v>
      </c>
      <c r="J196" s="5">
        <v>38</v>
      </c>
      <c r="K196" s="5">
        <v>20</v>
      </c>
      <c r="L196" s="9">
        <f t="shared" si="12"/>
        <v>1558</v>
      </c>
      <c r="M196" s="5">
        <f t="shared" si="11"/>
        <v>484</v>
      </c>
      <c r="N196" s="5"/>
    </row>
    <row r="197" spans="1:14" s="3" customFormat="1" x14ac:dyDescent="0.25">
      <c r="A197" s="5" t="s">
        <v>124</v>
      </c>
      <c r="B197" s="5" t="s">
        <v>90</v>
      </c>
      <c r="C197" s="5" t="s">
        <v>93</v>
      </c>
      <c r="D197" s="11" t="s">
        <v>19</v>
      </c>
      <c r="E197" s="11" t="s">
        <v>19</v>
      </c>
      <c r="F197" s="5">
        <v>200</v>
      </c>
      <c r="G197" s="5" t="s">
        <v>21</v>
      </c>
      <c r="H197" s="5">
        <v>2100</v>
      </c>
      <c r="I197" s="5">
        <v>2068</v>
      </c>
      <c r="J197" s="5">
        <v>40</v>
      </c>
      <c r="K197" s="5">
        <v>22</v>
      </c>
      <c r="L197" s="9">
        <f t="shared" si="12"/>
        <v>2006</v>
      </c>
      <c r="M197" s="5">
        <f t="shared" si="11"/>
        <v>32</v>
      </c>
      <c r="N197" s="5"/>
    </row>
    <row r="198" spans="1:14" s="3" customFormat="1" x14ac:dyDescent="0.25">
      <c r="A198" s="5" t="s">
        <v>124</v>
      </c>
      <c r="B198" s="5" t="s">
        <v>91</v>
      </c>
      <c r="C198" s="5" t="s">
        <v>148</v>
      </c>
      <c r="D198" s="11" t="s">
        <v>96</v>
      </c>
      <c r="E198" s="11" t="s">
        <v>29</v>
      </c>
      <c r="F198" s="5">
        <v>200</v>
      </c>
      <c r="G198" s="5" t="s">
        <v>13</v>
      </c>
      <c r="H198" s="5">
        <v>2000</v>
      </c>
      <c r="I198" s="5">
        <v>1500</v>
      </c>
      <c r="J198" s="5">
        <v>30</v>
      </c>
      <c r="K198" s="5">
        <v>0</v>
      </c>
      <c r="L198" s="9">
        <f t="shared" si="12"/>
        <v>1470</v>
      </c>
      <c r="M198" s="5">
        <f t="shared" si="11"/>
        <v>500</v>
      </c>
      <c r="N198" s="5"/>
    </row>
    <row r="199" spans="1:14" s="3" customFormat="1" x14ac:dyDescent="0.25">
      <c r="A199" s="5" t="s">
        <v>124</v>
      </c>
      <c r="B199" s="5" t="s">
        <v>91</v>
      </c>
      <c r="C199" s="5" t="s">
        <v>148</v>
      </c>
      <c r="D199" s="11" t="s">
        <v>96</v>
      </c>
      <c r="E199" s="11" t="s">
        <v>29</v>
      </c>
      <c r="F199" s="5">
        <v>200</v>
      </c>
      <c r="G199" s="5" t="s">
        <v>21</v>
      </c>
      <c r="H199" s="5">
        <v>0</v>
      </c>
      <c r="I199" s="5">
        <v>70</v>
      </c>
      <c r="J199" s="5">
        <v>0</v>
      </c>
      <c r="K199" s="5">
        <v>0</v>
      </c>
      <c r="L199" s="9">
        <f t="shared" si="12"/>
        <v>70</v>
      </c>
      <c r="M199" s="5">
        <f t="shared" si="11"/>
        <v>-70</v>
      </c>
      <c r="N199" s="5"/>
    </row>
    <row r="200" spans="1:14" s="3" customFormat="1" x14ac:dyDescent="0.25">
      <c r="A200" s="5" t="s">
        <v>124</v>
      </c>
      <c r="B200" s="5" t="s">
        <v>94</v>
      </c>
      <c r="C200" s="5" t="s">
        <v>100</v>
      </c>
      <c r="D200" s="11" t="s">
        <v>42</v>
      </c>
      <c r="E200" s="11" t="s">
        <v>149</v>
      </c>
      <c r="F200" s="5">
        <v>120</v>
      </c>
      <c r="G200" s="5" t="s">
        <v>13</v>
      </c>
      <c r="H200" s="5">
        <v>1008</v>
      </c>
      <c r="I200" s="5">
        <v>940</v>
      </c>
      <c r="J200" s="5">
        <v>4</v>
      </c>
      <c r="K200" s="5">
        <v>0</v>
      </c>
      <c r="L200" s="9">
        <f t="shared" si="12"/>
        <v>936</v>
      </c>
      <c r="M200" s="5">
        <f t="shared" si="11"/>
        <v>68</v>
      </c>
      <c r="N200" s="5"/>
    </row>
    <row r="201" spans="1:14" s="3" customFormat="1" x14ac:dyDescent="0.25">
      <c r="A201" s="5" t="s">
        <v>124</v>
      </c>
      <c r="B201" s="5" t="s">
        <v>94</v>
      </c>
      <c r="C201" s="5" t="s">
        <v>100</v>
      </c>
      <c r="D201" s="11" t="s">
        <v>42</v>
      </c>
      <c r="E201" s="11" t="s">
        <v>149</v>
      </c>
      <c r="F201" s="5">
        <v>120</v>
      </c>
      <c r="G201" s="5" t="s">
        <v>21</v>
      </c>
      <c r="H201" s="5">
        <v>0</v>
      </c>
      <c r="I201" s="5">
        <v>942</v>
      </c>
      <c r="J201" s="5">
        <v>2</v>
      </c>
      <c r="K201" s="5">
        <v>0</v>
      </c>
      <c r="L201" s="9">
        <f t="shared" si="12"/>
        <v>940</v>
      </c>
      <c r="M201" s="5">
        <f t="shared" si="11"/>
        <v>-942</v>
      </c>
      <c r="N201" s="5"/>
    </row>
    <row r="202" spans="1:14" s="3" customFormat="1" x14ac:dyDescent="0.25">
      <c r="A202" s="5" t="s">
        <v>124</v>
      </c>
      <c r="B202" s="5" t="s">
        <v>102</v>
      </c>
      <c r="C202" s="5" t="s">
        <v>30</v>
      </c>
      <c r="D202" s="11" t="s">
        <v>150</v>
      </c>
      <c r="E202" s="11" t="s">
        <v>151</v>
      </c>
      <c r="F202" s="5">
        <v>180</v>
      </c>
      <c r="G202" s="5" t="s">
        <v>13</v>
      </c>
      <c r="H202" s="5">
        <v>2080</v>
      </c>
      <c r="I202" s="5">
        <v>130</v>
      </c>
      <c r="J202" s="5">
        <v>10</v>
      </c>
      <c r="K202" s="5">
        <v>0</v>
      </c>
      <c r="L202" s="9">
        <f t="shared" si="12"/>
        <v>120</v>
      </c>
      <c r="M202" s="5">
        <f t="shared" si="11"/>
        <v>1950</v>
      </c>
      <c r="N202" s="5"/>
    </row>
    <row r="203" spans="1:14" s="3" customFormat="1" x14ac:dyDescent="0.25">
      <c r="A203" s="5" t="s">
        <v>124</v>
      </c>
      <c r="B203" s="5" t="s">
        <v>102</v>
      </c>
      <c r="C203" s="5" t="s">
        <v>103</v>
      </c>
      <c r="D203" s="11" t="s">
        <v>105</v>
      </c>
      <c r="E203" s="11" t="s">
        <v>105</v>
      </c>
      <c r="F203" s="5">
        <v>70</v>
      </c>
      <c r="G203" s="5" t="s">
        <v>13</v>
      </c>
      <c r="H203" s="5">
        <v>80</v>
      </c>
      <c r="I203" s="5">
        <v>637</v>
      </c>
      <c r="J203" s="5">
        <v>14</v>
      </c>
      <c r="K203" s="5">
        <v>0</v>
      </c>
      <c r="L203" s="9">
        <f t="shared" si="12"/>
        <v>623</v>
      </c>
      <c r="M203" s="5">
        <f t="shared" si="11"/>
        <v>-557</v>
      </c>
      <c r="N203" s="5"/>
    </row>
    <row r="204" spans="1:14" s="3" customFormat="1" x14ac:dyDescent="0.25">
      <c r="A204" s="5" t="s">
        <v>124</v>
      </c>
      <c r="B204" s="5" t="s">
        <v>102</v>
      </c>
      <c r="C204" s="5" t="s">
        <v>103</v>
      </c>
      <c r="D204" s="11" t="s">
        <v>105</v>
      </c>
      <c r="E204" s="11" t="s">
        <v>105</v>
      </c>
      <c r="F204" s="5">
        <v>70</v>
      </c>
      <c r="G204" s="5" t="s">
        <v>21</v>
      </c>
      <c r="H204" s="5">
        <v>400</v>
      </c>
      <c r="I204" s="5">
        <v>402</v>
      </c>
      <c r="J204" s="5">
        <v>6</v>
      </c>
      <c r="K204" s="5">
        <v>0</v>
      </c>
      <c r="L204" s="9">
        <f t="shared" si="12"/>
        <v>396</v>
      </c>
      <c r="M204" s="5">
        <f t="shared" si="11"/>
        <v>-2</v>
      </c>
      <c r="N204" s="5"/>
    </row>
    <row r="205" spans="1:14" s="3" customFormat="1" x14ac:dyDescent="0.25">
      <c r="A205" s="5" t="s">
        <v>124</v>
      </c>
      <c r="B205" s="5" t="s">
        <v>102</v>
      </c>
      <c r="C205" s="5" t="s">
        <v>30</v>
      </c>
      <c r="D205" s="11" t="s">
        <v>150</v>
      </c>
      <c r="E205" s="11" t="s">
        <v>152</v>
      </c>
      <c r="F205" s="5">
        <v>180</v>
      </c>
      <c r="G205" s="5" t="s">
        <v>21</v>
      </c>
      <c r="H205" s="5">
        <v>0</v>
      </c>
      <c r="I205" s="5">
        <v>610</v>
      </c>
      <c r="J205" s="5">
        <v>40</v>
      </c>
      <c r="K205" s="5">
        <v>25</v>
      </c>
      <c r="L205" s="9">
        <f t="shared" si="12"/>
        <v>545</v>
      </c>
      <c r="M205" s="5">
        <f t="shared" si="11"/>
        <v>-610</v>
      </c>
      <c r="N205" s="5"/>
    </row>
    <row r="206" spans="1:14" s="3" customFormat="1" x14ac:dyDescent="0.25">
      <c r="A206" s="5" t="s">
        <v>124</v>
      </c>
      <c r="B206" s="5" t="s">
        <v>106</v>
      </c>
      <c r="C206" s="5" t="s">
        <v>73</v>
      </c>
      <c r="D206" s="11" t="s">
        <v>153</v>
      </c>
      <c r="E206" s="11" t="s">
        <v>153</v>
      </c>
      <c r="F206" s="5">
        <v>115</v>
      </c>
      <c r="G206" s="5" t="s">
        <v>13</v>
      </c>
      <c r="H206" s="5">
        <v>1200</v>
      </c>
      <c r="I206" s="5">
        <v>1190</v>
      </c>
      <c r="J206" s="5">
        <v>30</v>
      </c>
      <c r="K206" s="5">
        <v>0</v>
      </c>
      <c r="L206" s="9">
        <f t="shared" si="12"/>
        <v>1160</v>
      </c>
      <c r="M206" s="5">
        <f t="shared" si="11"/>
        <v>10</v>
      </c>
      <c r="N206" s="5"/>
    </row>
    <row r="207" spans="1:14" s="3" customFormat="1" x14ac:dyDescent="0.25">
      <c r="A207" s="5" t="s">
        <v>124</v>
      </c>
      <c r="B207" s="5" t="s">
        <v>106</v>
      </c>
      <c r="C207" s="5" t="s">
        <v>73</v>
      </c>
      <c r="D207" s="11" t="s">
        <v>153</v>
      </c>
      <c r="E207" s="11" t="s">
        <v>153</v>
      </c>
      <c r="F207" s="5">
        <v>115</v>
      </c>
      <c r="G207" s="5" t="s">
        <v>21</v>
      </c>
      <c r="H207" s="5">
        <v>1200</v>
      </c>
      <c r="I207" s="5">
        <v>1232</v>
      </c>
      <c r="J207" s="5">
        <v>30</v>
      </c>
      <c r="K207" s="5">
        <v>0</v>
      </c>
      <c r="L207" s="9">
        <f t="shared" si="12"/>
        <v>1202</v>
      </c>
      <c r="M207" s="5">
        <f t="shared" si="11"/>
        <v>-32</v>
      </c>
      <c r="N207" s="5"/>
    </row>
    <row r="208" spans="1:14" x14ac:dyDescent="0.25">
      <c r="A208" s="5" t="s">
        <v>125</v>
      </c>
      <c r="B208" s="5" t="s">
        <v>6</v>
      </c>
      <c r="C208" s="1" t="s">
        <v>7</v>
      </c>
      <c r="D208" s="11" t="s">
        <v>20</v>
      </c>
      <c r="E208" s="11" t="s">
        <v>20</v>
      </c>
      <c r="F208" s="5">
        <v>90</v>
      </c>
      <c r="G208" s="5" t="s">
        <v>13</v>
      </c>
      <c r="H208" s="5">
        <v>300</v>
      </c>
      <c r="I208" s="5">
        <v>410</v>
      </c>
      <c r="J208" s="5">
        <v>10</v>
      </c>
      <c r="K208" s="5">
        <v>0</v>
      </c>
      <c r="L208" s="2">
        <f t="shared" si="12"/>
        <v>400</v>
      </c>
      <c r="M208" s="5">
        <f t="shared" si="11"/>
        <v>-110</v>
      </c>
    </row>
    <row r="209" spans="1:13" x14ac:dyDescent="0.25">
      <c r="A209" s="5" t="s">
        <v>125</v>
      </c>
      <c r="B209" s="5" t="s">
        <v>6</v>
      </c>
      <c r="C209" s="1" t="s">
        <v>154</v>
      </c>
      <c r="D209" s="11" t="s">
        <v>61</v>
      </c>
      <c r="E209" s="11" t="s">
        <v>61</v>
      </c>
      <c r="F209" s="5">
        <v>80</v>
      </c>
      <c r="G209" s="5" t="s">
        <v>13</v>
      </c>
      <c r="H209" s="5">
        <v>480</v>
      </c>
      <c r="I209" s="5">
        <v>410</v>
      </c>
      <c r="J209" s="5">
        <v>14</v>
      </c>
      <c r="K209" s="5">
        <v>0</v>
      </c>
      <c r="L209" s="2">
        <f t="shared" si="12"/>
        <v>396</v>
      </c>
      <c r="M209" s="5">
        <f t="shared" si="11"/>
        <v>70</v>
      </c>
    </row>
    <row r="210" spans="1:13" x14ac:dyDescent="0.25">
      <c r="A210" s="5" t="s">
        <v>125</v>
      </c>
      <c r="B210" s="5" t="s">
        <v>6</v>
      </c>
      <c r="C210" s="1" t="s">
        <v>154</v>
      </c>
      <c r="D210" s="11" t="s">
        <v>61</v>
      </c>
      <c r="E210" s="11" t="s">
        <v>61</v>
      </c>
      <c r="F210" s="5">
        <v>80</v>
      </c>
      <c r="G210" s="5" t="s">
        <v>21</v>
      </c>
      <c r="H210" s="5">
        <v>880</v>
      </c>
      <c r="I210" s="5">
        <v>830</v>
      </c>
      <c r="J210" s="5">
        <v>20</v>
      </c>
      <c r="K210" s="5">
        <v>0</v>
      </c>
      <c r="L210" s="2">
        <f t="shared" si="12"/>
        <v>810</v>
      </c>
      <c r="M210" s="5">
        <f t="shared" si="11"/>
        <v>50</v>
      </c>
    </row>
    <row r="211" spans="1:13" x14ac:dyDescent="0.25">
      <c r="A211" s="5" t="s">
        <v>125</v>
      </c>
      <c r="B211" s="5" t="s">
        <v>22</v>
      </c>
      <c r="C211" s="1" t="s">
        <v>18</v>
      </c>
      <c r="D211" s="11" t="s">
        <v>19</v>
      </c>
      <c r="E211" s="11" t="s">
        <v>19</v>
      </c>
      <c r="F211" s="5">
        <v>200</v>
      </c>
      <c r="G211" s="5" t="s">
        <v>13</v>
      </c>
      <c r="H211" s="5">
        <v>882</v>
      </c>
      <c r="I211" s="5">
        <v>462</v>
      </c>
      <c r="J211" s="5">
        <v>8</v>
      </c>
      <c r="K211" s="5">
        <v>0</v>
      </c>
      <c r="L211" s="2">
        <f t="shared" si="12"/>
        <v>454</v>
      </c>
      <c r="M211" s="5">
        <f t="shared" si="11"/>
        <v>420</v>
      </c>
    </row>
    <row r="212" spans="1:13" x14ac:dyDescent="0.25">
      <c r="A212" s="5" t="s">
        <v>125</v>
      </c>
      <c r="B212" s="5" t="s">
        <v>22</v>
      </c>
      <c r="C212" s="1" t="s">
        <v>155</v>
      </c>
      <c r="D212" s="11" t="s">
        <v>133</v>
      </c>
      <c r="E212" s="11" t="s">
        <v>133</v>
      </c>
      <c r="F212" s="5">
        <v>240</v>
      </c>
      <c r="G212" s="5" t="s">
        <v>13</v>
      </c>
      <c r="H212" s="5">
        <v>1800</v>
      </c>
      <c r="I212" s="5">
        <v>1460</v>
      </c>
      <c r="J212" s="5">
        <v>20</v>
      </c>
      <c r="K212" s="5">
        <v>0</v>
      </c>
      <c r="L212" s="2">
        <f t="shared" si="12"/>
        <v>1440</v>
      </c>
      <c r="M212" s="5">
        <f t="shared" si="11"/>
        <v>340</v>
      </c>
    </row>
    <row r="213" spans="1:13" x14ac:dyDescent="0.25">
      <c r="A213" s="5" t="s">
        <v>125</v>
      </c>
      <c r="B213" s="5" t="s">
        <v>22</v>
      </c>
      <c r="C213" s="1" t="s">
        <v>155</v>
      </c>
      <c r="D213" s="11" t="s">
        <v>133</v>
      </c>
      <c r="E213" s="11" t="s">
        <v>133</v>
      </c>
      <c r="F213" s="5">
        <v>240</v>
      </c>
      <c r="G213" s="5" t="s">
        <v>21</v>
      </c>
      <c r="H213" s="5">
        <v>600</v>
      </c>
      <c r="I213" s="5">
        <v>584</v>
      </c>
      <c r="J213" s="5">
        <v>16</v>
      </c>
      <c r="K213" s="5">
        <v>0</v>
      </c>
      <c r="L213" s="2">
        <f t="shared" si="12"/>
        <v>568</v>
      </c>
      <c r="M213" s="5">
        <f t="shared" si="11"/>
        <v>16</v>
      </c>
    </row>
    <row r="214" spans="1:13" x14ac:dyDescent="0.25">
      <c r="A214" s="5" t="s">
        <v>125</v>
      </c>
      <c r="B214" s="5" t="s">
        <v>22</v>
      </c>
      <c r="C214" s="1" t="s">
        <v>18</v>
      </c>
      <c r="D214" s="11" t="s">
        <v>19</v>
      </c>
      <c r="E214" s="11" t="s">
        <v>99</v>
      </c>
      <c r="F214" s="5">
        <v>200</v>
      </c>
      <c r="G214" s="5" t="s">
        <v>21</v>
      </c>
      <c r="H214" s="5">
        <v>882</v>
      </c>
      <c r="I214" s="5">
        <v>1068</v>
      </c>
      <c r="J214" s="5">
        <v>24</v>
      </c>
      <c r="K214" s="5">
        <v>0</v>
      </c>
      <c r="L214" s="2">
        <f t="shared" si="12"/>
        <v>1044</v>
      </c>
      <c r="M214" s="5">
        <f t="shared" si="11"/>
        <v>-186</v>
      </c>
    </row>
    <row r="215" spans="1:13" x14ac:dyDescent="0.25">
      <c r="A215" s="5" t="s">
        <v>125</v>
      </c>
      <c r="B215" s="5" t="s">
        <v>23</v>
      </c>
      <c r="C215" s="1" t="s">
        <v>126</v>
      </c>
      <c r="D215" s="11" t="s">
        <v>127</v>
      </c>
      <c r="E215" s="11" t="s">
        <v>127</v>
      </c>
      <c r="F215" s="5">
        <v>45</v>
      </c>
      <c r="G215" s="5" t="s">
        <v>13</v>
      </c>
      <c r="H215" s="5">
        <v>320</v>
      </c>
      <c r="I215" s="5">
        <v>304</v>
      </c>
      <c r="J215" s="5">
        <v>9</v>
      </c>
      <c r="K215" s="5">
        <v>0</v>
      </c>
      <c r="L215" s="2">
        <f t="shared" si="12"/>
        <v>295</v>
      </c>
      <c r="M215" s="5">
        <f t="shared" si="11"/>
        <v>16</v>
      </c>
    </row>
    <row r="216" spans="1:13" x14ac:dyDescent="0.25">
      <c r="A216" s="5" t="s">
        <v>125</v>
      </c>
      <c r="B216" s="5" t="s">
        <v>23</v>
      </c>
      <c r="C216" s="1" t="s">
        <v>158</v>
      </c>
      <c r="D216" s="11" t="s">
        <v>17</v>
      </c>
      <c r="E216" s="11" t="s">
        <v>159</v>
      </c>
      <c r="F216" s="5">
        <v>100</v>
      </c>
      <c r="G216" s="5" t="s">
        <v>13</v>
      </c>
      <c r="H216" s="5">
        <v>1008</v>
      </c>
      <c r="I216" s="5">
        <v>100</v>
      </c>
      <c r="J216" s="5">
        <v>7</v>
      </c>
      <c r="K216" s="5">
        <v>0</v>
      </c>
      <c r="L216" s="2">
        <f t="shared" si="12"/>
        <v>93</v>
      </c>
      <c r="M216" s="5">
        <f t="shared" si="11"/>
        <v>908</v>
      </c>
    </row>
    <row r="217" spans="1:13" x14ac:dyDescent="0.25">
      <c r="A217" s="5" t="s">
        <v>125</v>
      </c>
      <c r="B217" s="5" t="s">
        <v>23</v>
      </c>
      <c r="C217" s="1" t="s">
        <v>158</v>
      </c>
      <c r="D217" s="11" t="s">
        <v>17</v>
      </c>
      <c r="E217" s="11" t="s">
        <v>160</v>
      </c>
      <c r="F217" s="5">
        <v>100</v>
      </c>
      <c r="G217" s="5" t="s">
        <v>21</v>
      </c>
      <c r="H217" s="5">
        <v>1008</v>
      </c>
      <c r="I217" s="5">
        <v>605</v>
      </c>
      <c r="J217" s="5">
        <v>35</v>
      </c>
      <c r="K217" s="5">
        <v>0</v>
      </c>
      <c r="L217" s="2">
        <f t="shared" si="12"/>
        <v>570</v>
      </c>
      <c r="M217" s="5">
        <f t="shared" si="11"/>
        <v>403</v>
      </c>
    </row>
    <row r="218" spans="1:13" x14ac:dyDescent="0.25">
      <c r="A218" s="5" t="s">
        <v>125</v>
      </c>
      <c r="B218" s="5" t="s">
        <v>24</v>
      </c>
      <c r="C218" s="1" t="s">
        <v>58</v>
      </c>
      <c r="D218" s="11" t="s">
        <v>153</v>
      </c>
      <c r="E218" s="11" t="s">
        <v>153</v>
      </c>
      <c r="F218" s="5">
        <v>115</v>
      </c>
      <c r="G218" s="5" t="s">
        <v>13</v>
      </c>
      <c r="H218" s="5">
        <v>360</v>
      </c>
      <c r="I218" s="5">
        <v>365</v>
      </c>
      <c r="J218" s="5">
        <v>15</v>
      </c>
      <c r="K218" s="5">
        <v>0</v>
      </c>
      <c r="L218" s="2">
        <f t="shared" si="12"/>
        <v>350</v>
      </c>
      <c r="M218" s="5">
        <f t="shared" si="11"/>
        <v>-5</v>
      </c>
    </row>
    <row r="219" spans="1:13" x14ac:dyDescent="0.25">
      <c r="A219" s="5" t="s">
        <v>125</v>
      </c>
      <c r="B219" s="5" t="s">
        <v>24</v>
      </c>
      <c r="C219" s="1" t="s">
        <v>156</v>
      </c>
      <c r="D219" s="11" t="s">
        <v>157</v>
      </c>
      <c r="E219" s="11" t="s">
        <v>157</v>
      </c>
      <c r="F219" s="5">
        <v>95</v>
      </c>
      <c r="G219" s="5" t="s">
        <v>13</v>
      </c>
      <c r="H219" s="5">
        <v>660</v>
      </c>
      <c r="I219" s="5">
        <v>686</v>
      </c>
      <c r="J219" s="5">
        <v>14</v>
      </c>
      <c r="K219" s="5">
        <v>0</v>
      </c>
      <c r="L219" s="2">
        <f t="shared" si="12"/>
        <v>672</v>
      </c>
      <c r="M219" s="5">
        <f t="shared" si="11"/>
        <v>-26</v>
      </c>
    </row>
    <row r="220" spans="1:13" x14ac:dyDescent="0.25">
      <c r="A220" s="5" t="s">
        <v>125</v>
      </c>
      <c r="B220" s="5" t="s">
        <v>24</v>
      </c>
      <c r="C220" s="1" t="s">
        <v>156</v>
      </c>
      <c r="D220" s="11" t="s">
        <v>157</v>
      </c>
      <c r="E220" s="11" t="s">
        <v>157</v>
      </c>
      <c r="F220" s="5">
        <v>95</v>
      </c>
      <c r="G220" s="5" t="s">
        <v>21</v>
      </c>
      <c r="H220" s="5">
        <v>480</v>
      </c>
      <c r="I220" s="5">
        <v>624</v>
      </c>
      <c r="J220" s="5">
        <v>10</v>
      </c>
      <c r="K220" s="5">
        <v>0</v>
      </c>
      <c r="L220" s="2">
        <f t="shared" si="12"/>
        <v>614</v>
      </c>
      <c r="M220" s="5">
        <f t="shared" si="11"/>
        <v>-144</v>
      </c>
    </row>
    <row r="221" spans="1:13" x14ac:dyDescent="0.25">
      <c r="A221" s="5" t="s">
        <v>125</v>
      </c>
      <c r="B221" s="5" t="s">
        <v>24</v>
      </c>
      <c r="C221" s="1" t="s">
        <v>73</v>
      </c>
      <c r="D221" s="11" t="s">
        <v>153</v>
      </c>
      <c r="E221" s="11" t="s">
        <v>153</v>
      </c>
      <c r="F221" s="5">
        <v>115</v>
      </c>
      <c r="G221" s="5" t="s">
        <v>21</v>
      </c>
      <c r="H221" s="5">
        <v>400</v>
      </c>
      <c r="I221" s="5">
        <v>370</v>
      </c>
      <c r="J221" s="5">
        <v>10</v>
      </c>
      <c r="K221" s="5">
        <v>0</v>
      </c>
      <c r="L221" s="2">
        <f t="shared" si="12"/>
        <v>360</v>
      </c>
      <c r="M221" s="5">
        <f t="shared" si="11"/>
        <v>30</v>
      </c>
    </row>
    <row r="222" spans="1:13" x14ac:dyDescent="0.25">
      <c r="A222" s="5" t="s">
        <v>125</v>
      </c>
      <c r="B222" s="5" t="s">
        <v>34</v>
      </c>
      <c r="C222" s="1" t="s">
        <v>122</v>
      </c>
      <c r="D222" s="11" t="s">
        <v>19</v>
      </c>
      <c r="E222" s="11" t="s">
        <v>19</v>
      </c>
      <c r="F222" s="5">
        <v>200</v>
      </c>
      <c r="G222" s="8" t="s">
        <v>13</v>
      </c>
      <c r="H222" s="5">
        <v>1890</v>
      </c>
      <c r="I222" s="5">
        <v>1136</v>
      </c>
      <c r="J222" s="5">
        <v>32</v>
      </c>
      <c r="K222" s="5">
        <v>0</v>
      </c>
      <c r="L222" s="2">
        <f t="shared" si="12"/>
        <v>1104</v>
      </c>
      <c r="M222" s="5">
        <f t="shared" si="11"/>
        <v>754</v>
      </c>
    </row>
    <row r="223" spans="1:13" x14ac:dyDescent="0.25">
      <c r="A223" s="5" t="s">
        <v>125</v>
      </c>
      <c r="B223" s="5" t="s">
        <v>34</v>
      </c>
      <c r="C223" s="1" t="s">
        <v>33</v>
      </c>
      <c r="D223" s="11" t="s">
        <v>19</v>
      </c>
      <c r="E223" s="11" t="s">
        <v>19</v>
      </c>
      <c r="F223" s="5">
        <v>240</v>
      </c>
      <c r="G223" s="5" t="s">
        <v>13</v>
      </c>
      <c r="H223" s="5">
        <v>1764</v>
      </c>
      <c r="I223" s="5">
        <v>897</v>
      </c>
      <c r="J223" s="5">
        <v>23</v>
      </c>
      <c r="K223" s="5">
        <v>0</v>
      </c>
      <c r="L223" s="2">
        <f t="shared" si="12"/>
        <v>874</v>
      </c>
      <c r="M223" s="5">
        <f t="shared" si="11"/>
        <v>867</v>
      </c>
    </row>
    <row r="224" spans="1:13" x14ac:dyDescent="0.25">
      <c r="A224" s="5" t="s">
        <v>125</v>
      </c>
      <c r="B224" s="5" t="s">
        <v>34</v>
      </c>
      <c r="C224" s="1" t="s">
        <v>33</v>
      </c>
      <c r="D224" s="11" t="s">
        <v>35</v>
      </c>
      <c r="E224" s="11" t="s">
        <v>35</v>
      </c>
      <c r="F224" s="5">
        <v>240</v>
      </c>
      <c r="G224" s="5" t="s">
        <v>21</v>
      </c>
      <c r="H224" s="5">
        <v>2000</v>
      </c>
      <c r="I224" s="5">
        <v>1694</v>
      </c>
      <c r="J224" s="5">
        <v>26</v>
      </c>
      <c r="K224" s="5">
        <v>0</v>
      </c>
      <c r="L224" s="2">
        <f t="shared" si="12"/>
        <v>1668</v>
      </c>
      <c r="M224" s="5">
        <f t="shared" si="11"/>
        <v>306</v>
      </c>
    </row>
    <row r="225" spans="1:14" x14ac:dyDescent="0.25">
      <c r="A225" s="5" t="s">
        <v>125</v>
      </c>
      <c r="B225" s="5" t="s">
        <v>34</v>
      </c>
      <c r="C225" t="s">
        <v>161</v>
      </c>
      <c r="D225" s="11" t="s">
        <v>108</v>
      </c>
      <c r="E225" s="11" t="s">
        <v>108</v>
      </c>
      <c r="F225" s="5">
        <v>220</v>
      </c>
      <c r="G225" s="5" t="s">
        <v>21</v>
      </c>
      <c r="H225" s="5">
        <v>1000</v>
      </c>
      <c r="I225" s="5">
        <v>710</v>
      </c>
      <c r="J225" s="5">
        <v>18</v>
      </c>
      <c r="K225" s="5">
        <v>0</v>
      </c>
      <c r="L225" s="2">
        <f t="shared" si="12"/>
        <v>692</v>
      </c>
      <c r="M225" s="5">
        <f t="shared" si="11"/>
        <v>290</v>
      </c>
    </row>
    <row r="226" spans="1:14" x14ac:dyDescent="0.25">
      <c r="A226" s="5" t="s">
        <v>125</v>
      </c>
      <c r="B226" s="5" t="s">
        <v>37</v>
      </c>
      <c r="C226" s="1" t="s">
        <v>131</v>
      </c>
      <c r="D226" s="11" t="s">
        <v>45</v>
      </c>
      <c r="E226" s="11" t="s">
        <v>45</v>
      </c>
      <c r="F226" s="5">
        <v>90</v>
      </c>
      <c r="G226" s="5" t="s">
        <v>13</v>
      </c>
      <c r="H226" s="5">
        <v>480</v>
      </c>
      <c r="I226" s="5">
        <v>455</v>
      </c>
      <c r="J226" s="5">
        <v>22</v>
      </c>
      <c r="K226" s="5">
        <v>0</v>
      </c>
      <c r="L226" s="2">
        <f t="shared" si="12"/>
        <v>433</v>
      </c>
      <c r="M226" s="5">
        <f t="shared" si="11"/>
        <v>25</v>
      </c>
    </row>
    <row r="227" spans="1:14" x14ac:dyDescent="0.25">
      <c r="A227" s="5" t="s">
        <v>125</v>
      </c>
      <c r="B227" s="5" t="s">
        <v>37</v>
      </c>
      <c r="C227" t="s">
        <v>162</v>
      </c>
      <c r="D227" s="11" t="s">
        <v>98</v>
      </c>
      <c r="E227" s="11" t="s">
        <v>98</v>
      </c>
      <c r="F227" s="5">
        <v>70</v>
      </c>
      <c r="G227" s="5" t="s">
        <v>13</v>
      </c>
      <c r="H227" s="5">
        <v>324</v>
      </c>
      <c r="I227" s="5">
        <v>160</v>
      </c>
      <c r="J227" s="5">
        <v>28</v>
      </c>
      <c r="K227" s="5">
        <v>0</v>
      </c>
      <c r="L227" s="2">
        <f t="shared" si="12"/>
        <v>132</v>
      </c>
      <c r="M227" s="5">
        <f t="shared" si="11"/>
        <v>164</v>
      </c>
    </row>
    <row r="228" spans="1:14" x14ac:dyDescent="0.25">
      <c r="A228" s="5" t="s">
        <v>125</v>
      </c>
      <c r="B228" s="5" t="s">
        <v>37</v>
      </c>
      <c r="C228" t="s">
        <v>162</v>
      </c>
      <c r="D228" s="11" t="s">
        <v>98</v>
      </c>
      <c r="E228" s="11" t="s">
        <v>98</v>
      </c>
      <c r="F228" s="5">
        <v>70</v>
      </c>
      <c r="G228" s="5" t="s">
        <v>21</v>
      </c>
      <c r="H228" s="5">
        <v>324</v>
      </c>
      <c r="I228" s="5">
        <v>352</v>
      </c>
      <c r="J228" s="5">
        <v>20</v>
      </c>
      <c r="K228" s="5">
        <v>0</v>
      </c>
      <c r="L228" s="2">
        <f t="shared" si="12"/>
        <v>332</v>
      </c>
      <c r="M228" s="5">
        <f t="shared" si="11"/>
        <v>-28</v>
      </c>
    </row>
    <row r="229" spans="1:14" x14ac:dyDescent="0.25">
      <c r="A229" s="5" t="s">
        <v>125</v>
      </c>
      <c r="B229" s="5" t="s">
        <v>37</v>
      </c>
      <c r="C229" s="1" t="s">
        <v>163</v>
      </c>
      <c r="D229" s="11" t="s">
        <v>98</v>
      </c>
      <c r="E229" s="11" t="s">
        <v>98</v>
      </c>
      <c r="F229" s="5">
        <v>70</v>
      </c>
      <c r="G229" s="5" t="s">
        <v>21</v>
      </c>
      <c r="H229" s="5">
        <v>324</v>
      </c>
      <c r="I229" s="5">
        <v>340</v>
      </c>
      <c r="J229" s="5">
        <v>10</v>
      </c>
      <c r="K229" s="5">
        <v>0</v>
      </c>
      <c r="L229" s="2">
        <f t="shared" si="12"/>
        <v>330</v>
      </c>
      <c r="M229" s="5">
        <f t="shared" si="11"/>
        <v>-16</v>
      </c>
    </row>
    <row r="230" spans="1:14" x14ac:dyDescent="0.25">
      <c r="A230" s="5" t="s">
        <v>125</v>
      </c>
      <c r="B230" s="5" t="s">
        <v>38</v>
      </c>
      <c r="C230" s="1" t="s">
        <v>52</v>
      </c>
      <c r="D230" s="11" t="s">
        <v>99</v>
      </c>
      <c r="E230" s="11" t="s">
        <v>99</v>
      </c>
      <c r="F230" s="5">
        <v>140</v>
      </c>
      <c r="G230" s="5" t="s">
        <v>13</v>
      </c>
      <c r="H230" s="5">
        <v>72</v>
      </c>
      <c r="I230" s="5">
        <v>1272</v>
      </c>
      <c r="J230" s="5">
        <v>18</v>
      </c>
      <c r="K230" s="5">
        <v>0</v>
      </c>
      <c r="L230" s="2">
        <f t="shared" si="12"/>
        <v>1254</v>
      </c>
      <c r="M230" s="5">
        <f t="shared" si="11"/>
        <v>-1200</v>
      </c>
    </row>
    <row r="231" spans="1:14" x14ac:dyDescent="0.25">
      <c r="A231" s="5" t="s">
        <v>125</v>
      </c>
      <c r="B231" s="5" t="s">
        <v>38</v>
      </c>
      <c r="C231" s="1" t="s">
        <v>52</v>
      </c>
      <c r="D231" s="11" t="s">
        <v>99</v>
      </c>
      <c r="E231" s="11" t="s">
        <v>99</v>
      </c>
      <c r="F231" s="5">
        <v>140</v>
      </c>
      <c r="G231" s="5" t="s">
        <v>21</v>
      </c>
      <c r="H231" s="5">
        <v>720</v>
      </c>
      <c r="I231" s="5">
        <v>786</v>
      </c>
      <c r="J231" s="5">
        <v>30</v>
      </c>
      <c r="K231" s="5">
        <v>0</v>
      </c>
      <c r="L231" s="2">
        <f t="shared" si="12"/>
        <v>756</v>
      </c>
      <c r="M231" s="5">
        <f t="shared" si="11"/>
        <v>-66</v>
      </c>
    </row>
    <row r="232" spans="1:14" x14ac:dyDescent="0.25">
      <c r="A232" s="5" t="s">
        <v>125</v>
      </c>
      <c r="B232" s="5" t="s">
        <v>38</v>
      </c>
      <c r="C232" s="1" t="s">
        <v>164</v>
      </c>
      <c r="D232" s="11" t="s">
        <v>101</v>
      </c>
      <c r="E232" s="11" t="s">
        <v>101</v>
      </c>
      <c r="F232" s="5">
        <v>130</v>
      </c>
      <c r="G232" s="5" t="s">
        <v>21</v>
      </c>
      <c r="H232" s="5">
        <v>441</v>
      </c>
      <c r="I232" s="5">
        <v>436</v>
      </c>
      <c r="J232" s="5">
        <v>24</v>
      </c>
      <c r="K232" s="5">
        <v>0</v>
      </c>
      <c r="L232" s="2">
        <f t="shared" si="12"/>
        <v>412</v>
      </c>
      <c r="M232" s="5">
        <f t="shared" si="11"/>
        <v>5</v>
      </c>
    </row>
    <row r="233" spans="1:14" x14ac:dyDescent="0.25">
      <c r="A233" s="5" t="s">
        <v>125</v>
      </c>
      <c r="B233" s="5" t="s">
        <v>43</v>
      </c>
      <c r="C233" s="1" t="s">
        <v>134</v>
      </c>
      <c r="D233" s="11" t="s">
        <v>136</v>
      </c>
      <c r="E233" s="8" t="s">
        <v>167</v>
      </c>
      <c r="F233" s="5">
        <v>56</v>
      </c>
      <c r="G233" s="5" t="s">
        <v>13</v>
      </c>
      <c r="H233" s="5">
        <v>320</v>
      </c>
      <c r="I233" s="5">
        <v>350</v>
      </c>
      <c r="J233" s="5">
        <v>10</v>
      </c>
      <c r="K233" s="5">
        <v>0</v>
      </c>
      <c r="L233" s="2">
        <f t="shared" si="12"/>
        <v>340</v>
      </c>
      <c r="M233" s="5">
        <f t="shared" si="11"/>
        <v>-30</v>
      </c>
      <c r="N233" s="5"/>
    </row>
    <row r="234" spans="1:14" x14ac:dyDescent="0.25">
      <c r="A234" s="5" t="s">
        <v>125</v>
      </c>
      <c r="B234" s="5" t="s">
        <v>43</v>
      </c>
      <c r="C234" s="1" t="s">
        <v>165</v>
      </c>
      <c r="D234" s="11" t="s">
        <v>166</v>
      </c>
      <c r="E234" s="11" t="s">
        <v>166</v>
      </c>
      <c r="F234" s="5">
        <v>46</v>
      </c>
      <c r="G234" s="5" t="s">
        <v>13</v>
      </c>
      <c r="H234" s="5">
        <v>0</v>
      </c>
      <c r="I234" s="5">
        <v>66</v>
      </c>
      <c r="J234" s="5">
        <v>24</v>
      </c>
      <c r="K234" s="5">
        <v>0</v>
      </c>
      <c r="L234" s="2">
        <f t="shared" si="12"/>
        <v>42</v>
      </c>
      <c r="M234" s="5">
        <f t="shared" si="11"/>
        <v>-66</v>
      </c>
    </row>
    <row r="235" spans="1:14" x14ac:dyDescent="0.25">
      <c r="A235" s="5" t="s">
        <v>125</v>
      </c>
      <c r="B235" s="5" t="s">
        <v>43</v>
      </c>
      <c r="C235" s="1" t="s">
        <v>165</v>
      </c>
      <c r="D235" s="11" t="s">
        <v>166</v>
      </c>
      <c r="E235" s="11" t="s">
        <v>166</v>
      </c>
      <c r="F235" s="5">
        <v>46</v>
      </c>
      <c r="G235" s="5" t="s">
        <v>21</v>
      </c>
      <c r="H235" s="5">
        <v>288</v>
      </c>
      <c r="I235" s="5">
        <v>326</v>
      </c>
      <c r="J235" s="5">
        <v>20</v>
      </c>
      <c r="K235" s="5">
        <v>0</v>
      </c>
      <c r="L235" s="2">
        <f t="shared" si="12"/>
        <v>306</v>
      </c>
      <c r="M235" s="5">
        <f t="shared" si="11"/>
        <v>-38</v>
      </c>
    </row>
    <row r="236" spans="1:14" x14ac:dyDescent="0.25">
      <c r="A236" s="5" t="s">
        <v>125</v>
      </c>
      <c r="B236" s="5" t="s">
        <v>43</v>
      </c>
      <c r="C236" s="1" t="s">
        <v>60</v>
      </c>
      <c r="D236" s="11" t="s">
        <v>61</v>
      </c>
      <c r="E236" s="11" t="s">
        <v>61</v>
      </c>
      <c r="F236" s="5">
        <v>80</v>
      </c>
      <c r="G236" s="5" t="s">
        <v>21</v>
      </c>
      <c r="H236" s="5">
        <v>160</v>
      </c>
      <c r="I236" s="5">
        <v>125</v>
      </c>
      <c r="J236" s="5">
        <v>7</v>
      </c>
      <c r="K236" s="5">
        <v>0</v>
      </c>
      <c r="L236" s="2">
        <f t="shared" si="12"/>
        <v>118</v>
      </c>
      <c r="M236" s="5">
        <f t="shared" si="11"/>
        <v>35</v>
      </c>
    </row>
    <row r="237" spans="1:14" x14ac:dyDescent="0.25">
      <c r="A237" s="5" t="s">
        <v>125</v>
      </c>
      <c r="B237" s="5" t="s">
        <v>48</v>
      </c>
      <c r="C237" s="1" t="s">
        <v>62</v>
      </c>
      <c r="D237" s="11" t="s">
        <v>61</v>
      </c>
      <c r="E237" s="11" t="s">
        <v>61</v>
      </c>
      <c r="F237" s="5">
        <v>80</v>
      </c>
      <c r="G237" s="5" t="s">
        <v>13</v>
      </c>
      <c r="H237" s="5">
        <v>880</v>
      </c>
      <c r="I237" s="5">
        <v>869</v>
      </c>
      <c r="J237" s="5">
        <v>21</v>
      </c>
      <c r="K237" s="5">
        <v>0</v>
      </c>
      <c r="L237" s="2">
        <f t="shared" si="12"/>
        <v>848</v>
      </c>
      <c r="M237" s="5">
        <f t="shared" si="11"/>
        <v>11</v>
      </c>
    </row>
    <row r="238" spans="1:14" x14ac:dyDescent="0.25">
      <c r="A238" s="5" t="s">
        <v>125</v>
      </c>
      <c r="B238" s="5" t="s">
        <v>48</v>
      </c>
      <c r="C238" s="1" t="s">
        <v>62</v>
      </c>
      <c r="D238" s="11" t="s">
        <v>61</v>
      </c>
      <c r="E238" s="11" t="s">
        <v>61</v>
      </c>
      <c r="F238" s="5">
        <v>80</v>
      </c>
      <c r="G238" s="5" t="s">
        <v>21</v>
      </c>
      <c r="H238" s="5">
        <v>880</v>
      </c>
      <c r="I238" s="5">
        <v>850</v>
      </c>
      <c r="J238" s="5">
        <v>10</v>
      </c>
      <c r="K238" s="5">
        <v>0</v>
      </c>
      <c r="L238" s="2">
        <f t="shared" si="12"/>
        <v>840</v>
      </c>
      <c r="M238" s="5">
        <f t="shared" si="11"/>
        <v>30</v>
      </c>
    </row>
    <row r="239" spans="1:14" x14ac:dyDescent="0.25">
      <c r="A239" s="5" t="s">
        <v>125</v>
      </c>
      <c r="B239" s="5" t="s">
        <v>49</v>
      </c>
      <c r="C239" s="1" t="s">
        <v>64</v>
      </c>
      <c r="D239" s="12" t="s">
        <v>168</v>
      </c>
      <c r="E239" s="11" t="s">
        <v>168</v>
      </c>
      <c r="F239" s="8">
        <v>300</v>
      </c>
      <c r="G239" s="5" t="s">
        <v>13</v>
      </c>
      <c r="H239" s="5">
        <v>3150</v>
      </c>
      <c r="I239" s="5">
        <v>3038</v>
      </c>
      <c r="J239" s="5">
        <v>12</v>
      </c>
      <c r="K239" s="5">
        <v>0</v>
      </c>
      <c r="L239" s="2">
        <f t="shared" si="12"/>
        <v>3026</v>
      </c>
      <c r="M239" s="5">
        <f t="shared" si="11"/>
        <v>112</v>
      </c>
    </row>
    <row r="240" spans="1:14" x14ac:dyDescent="0.25">
      <c r="A240" s="5" t="s">
        <v>125</v>
      </c>
      <c r="B240" s="5" t="s">
        <v>49</v>
      </c>
      <c r="C240" s="1" t="s">
        <v>64</v>
      </c>
      <c r="D240" s="12" t="s">
        <v>168</v>
      </c>
      <c r="E240" s="11" t="s">
        <v>168</v>
      </c>
      <c r="F240" s="5">
        <v>300</v>
      </c>
      <c r="G240" s="5" t="s">
        <v>21</v>
      </c>
      <c r="H240" s="5">
        <v>3150</v>
      </c>
      <c r="I240" s="5">
        <v>3200</v>
      </c>
      <c r="J240" s="5">
        <v>50</v>
      </c>
      <c r="K240" s="5">
        <v>0</v>
      </c>
      <c r="L240" s="2">
        <f t="shared" si="12"/>
        <v>3150</v>
      </c>
      <c r="M240" s="5">
        <f t="shared" si="11"/>
        <v>-50</v>
      </c>
    </row>
    <row r="241" spans="1:13" x14ac:dyDescent="0.25">
      <c r="A241" s="5" t="s">
        <v>125</v>
      </c>
      <c r="B241" s="5" t="s">
        <v>55</v>
      </c>
      <c r="C241" s="1" t="s">
        <v>70</v>
      </c>
      <c r="D241" s="11" t="s">
        <v>19</v>
      </c>
      <c r="E241" s="11" t="s">
        <v>19</v>
      </c>
      <c r="F241" s="5">
        <v>200</v>
      </c>
      <c r="G241" s="5" t="s">
        <v>13</v>
      </c>
      <c r="H241" s="5">
        <v>2205</v>
      </c>
      <c r="I241" s="5">
        <v>2022</v>
      </c>
      <c r="J241" s="5">
        <v>42</v>
      </c>
      <c r="K241" s="5">
        <v>0</v>
      </c>
      <c r="L241" s="2">
        <f t="shared" si="12"/>
        <v>1980</v>
      </c>
      <c r="M241" s="5">
        <f t="shared" si="11"/>
        <v>183</v>
      </c>
    </row>
    <row r="242" spans="1:13" x14ac:dyDescent="0.25">
      <c r="A242" s="5" t="s">
        <v>125</v>
      </c>
      <c r="B242" s="5" t="s">
        <v>55</v>
      </c>
      <c r="C242" s="1" t="s">
        <v>70</v>
      </c>
      <c r="D242" s="11" t="s">
        <v>19</v>
      </c>
      <c r="E242" s="11" t="s">
        <v>19</v>
      </c>
      <c r="F242" s="5">
        <v>200</v>
      </c>
      <c r="G242" s="5" t="s">
        <v>21</v>
      </c>
      <c r="H242" s="5">
        <v>2205</v>
      </c>
      <c r="I242" s="5">
        <v>2114</v>
      </c>
      <c r="J242" s="5">
        <v>50</v>
      </c>
      <c r="K242" s="5">
        <v>0</v>
      </c>
      <c r="L242" s="2">
        <f t="shared" si="12"/>
        <v>2064</v>
      </c>
      <c r="M242" s="5">
        <f t="shared" si="11"/>
        <v>91</v>
      </c>
    </row>
    <row r="243" spans="1:13" x14ac:dyDescent="0.25">
      <c r="A243" s="5" t="s">
        <v>125</v>
      </c>
      <c r="B243" s="5" t="s">
        <v>65</v>
      </c>
      <c r="C243" t="s">
        <v>138</v>
      </c>
      <c r="D243" s="11" t="s">
        <v>29</v>
      </c>
      <c r="E243" s="11" t="s">
        <v>29</v>
      </c>
      <c r="F243" s="5">
        <v>180</v>
      </c>
      <c r="G243" s="5" t="s">
        <v>13</v>
      </c>
      <c r="H243" s="5">
        <v>1000</v>
      </c>
      <c r="I243" s="5">
        <v>1750</v>
      </c>
      <c r="J243" s="5">
        <v>20</v>
      </c>
      <c r="K243" s="5">
        <v>0</v>
      </c>
      <c r="L243" s="2">
        <f t="shared" si="12"/>
        <v>1730</v>
      </c>
      <c r="M243" s="5">
        <f t="shared" si="11"/>
        <v>-750</v>
      </c>
    </row>
    <row r="244" spans="1:13" x14ac:dyDescent="0.25">
      <c r="A244" s="5" t="s">
        <v>125</v>
      </c>
      <c r="B244" s="5" t="s">
        <v>65</v>
      </c>
      <c r="C244" s="1" t="s">
        <v>169</v>
      </c>
      <c r="D244">
        <v>0</v>
      </c>
      <c r="E244">
        <v>0</v>
      </c>
      <c r="F244" s="5">
        <v>0</v>
      </c>
      <c r="G244" s="5" t="s">
        <v>13</v>
      </c>
      <c r="H244" s="5">
        <v>0</v>
      </c>
      <c r="I244" s="5">
        <v>0</v>
      </c>
      <c r="J244" s="5">
        <v>0</v>
      </c>
      <c r="K244" s="5">
        <v>0</v>
      </c>
      <c r="L244" s="2">
        <f t="shared" si="12"/>
        <v>0</v>
      </c>
      <c r="M244" s="5">
        <f t="shared" si="11"/>
        <v>0</v>
      </c>
    </row>
    <row r="245" spans="1:13" x14ac:dyDescent="0.25">
      <c r="A245" s="5" t="s">
        <v>125</v>
      </c>
      <c r="B245" s="5" t="s">
        <v>65</v>
      </c>
      <c r="C245" t="s">
        <v>170</v>
      </c>
      <c r="D245" s="11" t="s">
        <v>63</v>
      </c>
      <c r="E245" s="11" t="s">
        <v>63</v>
      </c>
      <c r="F245" s="5">
        <v>160</v>
      </c>
      <c r="G245" s="5" t="s">
        <v>21</v>
      </c>
      <c r="H245" s="5">
        <v>0</v>
      </c>
      <c r="I245" s="5">
        <v>1340</v>
      </c>
      <c r="J245" s="5">
        <v>21</v>
      </c>
      <c r="K245" s="5">
        <v>0</v>
      </c>
      <c r="L245" s="2">
        <f t="shared" si="12"/>
        <v>1319</v>
      </c>
      <c r="M245" s="5">
        <f t="shared" si="11"/>
        <v>-1340</v>
      </c>
    </row>
    <row r="246" spans="1:13" x14ac:dyDescent="0.25">
      <c r="A246" s="5" t="s">
        <v>125</v>
      </c>
      <c r="B246" s="5" t="s">
        <v>65</v>
      </c>
      <c r="C246" s="1" t="s">
        <v>137</v>
      </c>
      <c r="D246" s="11" t="s">
        <v>19</v>
      </c>
      <c r="E246" s="11" t="s">
        <v>19</v>
      </c>
      <c r="F246" s="5">
        <v>200</v>
      </c>
      <c r="G246" s="5" t="s">
        <v>21</v>
      </c>
      <c r="H246" s="5">
        <v>0</v>
      </c>
      <c r="I246" s="5">
        <v>262</v>
      </c>
      <c r="J246" s="5">
        <v>4</v>
      </c>
      <c r="K246" s="5">
        <v>0</v>
      </c>
      <c r="L246" s="2">
        <f t="shared" si="12"/>
        <v>258</v>
      </c>
      <c r="M246" s="5">
        <f t="shared" si="11"/>
        <v>-262</v>
      </c>
    </row>
    <row r="247" spans="1:13" x14ac:dyDescent="0.25">
      <c r="A247" s="5" t="s">
        <v>125</v>
      </c>
      <c r="B247" s="5" t="s">
        <v>66</v>
      </c>
      <c r="C247" s="1" t="s">
        <v>73</v>
      </c>
      <c r="D247" s="11" t="s">
        <v>153</v>
      </c>
      <c r="E247" s="11" t="s">
        <v>153</v>
      </c>
      <c r="F247" s="5">
        <v>115</v>
      </c>
      <c r="G247" s="5" t="s">
        <v>13</v>
      </c>
      <c r="H247" s="5">
        <v>1200</v>
      </c>
      <c r="I247" s="5">
        <v>1296</v>
      </c>
      <c r="J247" s="5">
        <v>9</v>
      </c>
      <c r="K247" s="5">
        <v>5</v>
      </c>
      <c r="L247" s="2">
        <f t="shared" si="12"/>
        <v>1282</v>
      </c>
      <c r="M247" s="5">
        <f t="shared" si="11"/>
        <v>-96</v>
      </c>
    </row>
    <row r="248" spans="1:13" x14ac:dyDescent="0.25">
      <c r="A248" s="5" t="s">
        <v>125</v>
      </c>
      <c r="B248" s="5" t="s">
        <v>66</v>
      </c>
      <c r="C248" s="1" t="s">
        <v>73</v>
      </c>
      <c r="D248" s="11" t="s">
        <v>153</v>
      </c>
      <c r="E248" s="11" t="s">
        <v>153</v>
      </c>
      <c r="F248" s="5">
        <v>115</v>
      </c>
      <c r="G248" s="5" t="s">
        <v>21</v>
      </c>
      <c r="H248" s="5">
        <v>1200</v>
      </c>
      <c r="I248" s="5">
        <v>1181</v>
      </c>
      <c r="J248" s="5">
        <v>39</v>
      </c>
      <c r="K248" s="5">
        <v>0</v>
      </c>
      <c r="L248" s="2">
        <f t="shared" si="12"/>
        <v>1142</v>
      </c>
      <c r="M248" s="5">
        <f t="shared" si="11"/>
        <v>19</v>
      </c>
    </row>
    <row r="249" spans="1:13" x14ac:dyDescent="0.25">
      <c r="A249" s="5" t="s">
        <v>125</v>
      </c>
      <c r="B249" s="5" t="s">
        <v>67</v>
      </c>
      <c r="C249" s="1" t="s">
        <v>74</v>
      </c>
      <c r="D249" s="12" t="s">
        <v>171</v>
      </c>
      <c r="E249" s="11" t="s">
        <v>171</v>
      </c>
      <c r="F249" s="5">
        <v>140</v>
      </c>
      <c r="G249" s="5" t="s">
        <v>13</v>
      </c>
      <c r="H249" s="5">
        <v>1440</v>
      </c>
      <c r="I249" s="5">
        <v>1350</v>
      </c>
      <c r="J249" s="5">
        <v>30</v>
      </c>
      <c r="K249" s="5">
        <v>0</v>
      </c>
      <c r="L249" s="2">
        <f t="shared" si="12"/>
        <v>1320</v>
      </c>
      <c r="M249" s="5">
        <f t="shared" si="11"/>
        <v>90</v>
      </c>
    </row>
    <row r="250" spans="1:13" x14ac:dyDescent="0.25">
      <c r="A250" s="5" t="s">
        <v>125</v>
      </c>
      <c r="B250" s="5" t="s">
        <v>67</v>
      </c>
      <c r="C250" s="1" t="s">
        <v>74</v>
      </c>
      <c r="D250" s="11" t="s">
        <v>171</v>
      </c>
      <c r="E250" s="11" t="s">
        <v>171</v>
      </c>
      <c r="F250" s="5">
        <v>140</v>
      </c>
      <c r="G250" s="5" t="s">
        <v>21</v>
      </c>
      <c r="H250" s="5">
        <v>1440</v>
      </c>
      <c r="I250" s="5">
        <v>1465</v>
      </c>
      <c r="J250" s="5">
        <v>25</v>
      </c>
      <c r="K250" s="5">
        <v>0</v>
      </c>
      <c r="L250" s="2">
        <f t="shared" si="12"/>
        <v>1440</v>
      </c>
      <c r="M250" s="5">
        <f t="shared" si="11"/>
        <v>-25</v>
      </c>
    </row>
    <row r="251" spans="1:13" x14ac:dyDescent="0.25">
      <c r="A251" s="5" t="s">
        <v>125</v>
      </c>
      <c r="B251" s="5" t="s">
        <v>139</v>
      </c>
      <c r="C251" s="1" t="s">
        <v>140</v>
      </c>
      <c r="D251" s="11" t="s">
        <v>99</v>
      </c>
      <c r="E251" s="11" t="s">
        <v>86</v>
      </c>
      <c r="F251" s="5">
        <v>140</v>
      </c>
      <c r="G251" s="5" t="s">
        <v>13</v>
      </c>
      <c r="H251" s="5">
        <v>1000</v>
      </c>
      <c r="I251" s="5">
        <v>1122</v>
      </c>
      <c r="J251" s="5">
        <v>14</v>
      </c>
      <c r="K251" s="5">
        <v>0</v>
      </c>
      <c r="L251" s="2">
        <f t="shared" si="12"/>
        <v>1108</v>
      </c>
      <c r="M251" s="5">
        <f t="shared" si="11"/>
        <v>-122</v>
      </c>
    </row>
    <row r="252" spans="1:13" x14ac:dyDescent="0.25">
      <c r="A252" s="5" t="s">
        <v>125</v>
      </c>
      <c r="B252" s="5" t="s">
        <v>139</v>
      </c>
      <c r="C252" s="1" t="s">
        <v>140</v>
      </c>
      <c r="D252" s="11" t="s">
        <v>99</v>
      </c>
      <c r="E252" s="11" t="s">
        <v>172</v>
      </c>
      <c r="F252" s="5">
        <v>140</v>
      </c>
      <c r="G252" s="5" t="s">
        <v>21</v>
      </c>
      <c r="H252" s="5">
        <v>400</v>
      </c>
      <c r="I252" s="5">
        <v>330</v>
      </c>
      <c r="J252" s="5">
        <v>20</v>
      </c>
      <c r="K252" s="5">
        <v>0</v>
      </c>
      <c r="L252" s="2">
        <f t="shared" si="12"/>
        <v>310</v>
      </c>
      <c r="M252" s="5">
        <f t="shared" si="11"/>
        <v>70</v>
      </c>
    </row>
    <row r="253" spans="1:13" x14ac:dyDescent="0.25">
      <c r="A253" s="5" t="s">
        <v>125</v>
      </c>
      <c r="B253" s="5" t="s">
        <v>139</v>
      </c>
      <c r="C253" s="1" t="s">
        <v>141</v>
      </c>
      <c r="D253" s="11" t="s">
        <v>99</v>
      </c>
      <c r="E253" s="11" t="s">
        <v>59</v>
      </c>
      <c r="F253" s="5">
        <v>100</v>
      </c>
      <c r="G253" s="5" t="s">
        <v>21</v>
      </c>
      <c r="H253" s="5">
        <v>640</v>
      </c>
      <c r="I253" s="5">
        <v>634</v>
      </c>
      <c r="J253" s="5">
        <v>30</v>
      </c>
      <c r="K253" s="5">
        <v>0</v>
      </c>
      <c r="L253" s="2">
        <f t="shared" si="12"/>
        <v>604</v>
      </c>
      <c r="M253" s="5">
        <f t="shared" si="11"/>
        <v>6</v>
      </c>
    </row>
    <row r="254" spans="1:13" x14ac:dyDescent="0.25">
      <c r="A254" s="5" t="s">
        <v>125</v>
      </c>
      <c r="B254" s="5" t="s">
        <v>145</v>
      </c>
      <c r="C254" s="1" t="s">
        <v>79</v>
      </c>
      <c r="D254" s="11" t="s">
        <v>42</v>
      </c>
      <c r="E254" s="11" t="s">
        <v>42</v>
      </c>
      <c r="F254" s="5">
        <v>120</v>
      </c>
      <c r="G254" s="5" t="s">
        <v>13</v>
      </c>
      <c r="H254" s="5">
        <v>960</v>
      </c>
      <c r="I254" s="5">
        <v>890</v>
      </c>
      <c r="J254" s="5">
        <v>10</v>
      </c>
      <c r="K254" s="5">
        <v>0</v>
      </c>
      <c r="L254" s="2">
        <f t="shared" si="12"/>
        <v>880</v>
      </c>
      <c r="M254" s="5">
        <f t="shared" si="11"/>
        <v>70</v>
      </c>
    </row>
    <row r="255" spans="1:13" x14ac:dyDescent="0.25">
      <c r="A255" s="5" t="s">
        <v>125</v>
      </c>
      <c r="B255" s="5" t="s">
        <v>145</v>
      </c>
      <c r="C255" s="1" t="s">
        <v>76</v>
      </c>
      <c r="D255" s="11" t="s">
        <v>108</v>
      </c>
      <c r="E255" s="11" t="s">
        <v>108</v>
      </c>
      <c r="F255" s="5">
        <v>210</v>
      </c>
      <c r="G255" s="5" t="s">
        <v>13</v>
      </c>
      <c r="H255" s="5">
        <v>0</v>
      </c>
      <c r="I255" s="5">
        <v>0</v>
      </c>
      <c r="J255" s="5">
        <v>0</v>
      </c>
      <c r="K255" s="5">
        <v>0</v>
      </c>
      <c r="L255" s="2">
        <f t="shared" si="12"/>
        <v>0</v>
      </c>
      <c r="M255" s="5">
        <f t="shared" si="11"/>
        <v>0</v>
      </c>
    </row>
    <row r="256" spans="1:13" x14ac:dyDescent="0.25">
      <c r="A256" s="5" t="s">
        <v>125</v>
      </c>
      <c r="B256" s="5" t="s">
        <v>145</v>
      </c>
      <c r="C256" s="1" t="s">
        <v>47</v>
      </c>
      <c r="D256" s="11" t="s">
        <v>46</v>
      </c>
      <c r="E256" s="11" t="s">
        <v>46</v>
      </c>
      <c r="F256" s="5">
        <v>360</v>
      </c>
      <c r="G256" s="5" t="s">
        <v>21</v>
      </c>
      <c r="H256" s="5">
        <v>1260</v>
      </c>
      <c r="I256" s="5">
        <v>2624</v>
      </c>
      <c r="J256" s="5">
        <v>16</v>
      </c>
      <c r="K256" s="5">
        <v>0</v>
      </c>
      <c r="L256" s="2">
        <f t="shared" si="12"/>
        <v>2608</v>
      </c>
      <c r="M256" s="5">
        <f t="shared" si="11"/>
        <v>-1364</v>
      </c>
    </row>
    <row r="257" spans="1:14" x14ac:dyDescent="0.25">
      <c r="A257" s="5" t="s">
        <v>125</v>
      </c>
      <c r="B257" s="5" t="s">
        <v>142</v>
      </c>
      <c r="C257" s="1" t="s">
        <v>76</v>
      </c>
      <c r="D257" s="11" t="s">
        <v>77</v>
      </c>
      <c r="E257" s="11" t="s">
        <v>133</v>
      </c>
      <c r="F257" s="5">
        <v>230</v>
      </c>
      <c r="G257" s="5" t="s">
        <v>13</v>
      </c>
      <c r="H257" s="5">
        <v>2160</v>
      </c>
      <c r="I257" s="5">
        <v>1632</v>
      </c>
      <c r="J257" s="5">
        <v>30</v>
      </c>
      <c r="K257" s="5">
        <v>0</v>
      </c>
      <c r="L257" s="2">
        <f t="shared" si="12"/>
        <v>1602</v>
      </c>
      <c r="M257" s="5">
        <f t="shared" si="11"/>
        <v>528</v>
      </c>
    </row>
    <row r="258" spans="1:14" x14ac:dyDescent="0.25">
      <c r="A258" s="5" t="s">
        <v>125</v>
      </c>
      <c r="B258" s="5" t="s">
        <v>142</v>
      </c>
      <c r="C258" s="1" t="s">
        <v>76</v>
      </c>
      <c r="D258" s="11" t="s">
        <v>77</v>
      </c>
      <c r="E258" s="11" t="s">
        <v>77</v>
      </c>
      <c r="F258" s="5">
        <v>230</v>
      </c>
      <c r="G258" s="5" t="s">
        <v>21</v>
      </c>
      <c r="H258" s="5">
        <v>2160</v>
      </c>
      <c r="I258" s="5">
        <v>2582</v>
      </c>
      <c r="J258" s="5">
        <v>18</v>
      </c>
      <c r="K258" s="5">
        <v>0</v>
      </c>
      <c r="L258" s="2">
        <f t="shared" si="12"/>
        <v>2564</v>
      </c>
      <c r="M258" s="5">
        <f t="shared" si="11"/>
        <v>-422</v>
      </c>
    </row>
    <row r="259" spans="1:14" x14ac:dyDescent="0.25">
      <c r="A259" s="5" t="s">
        <v>125</v>
      </c>
      <c r="B259" s="5" t="s">
        <v>80</v>
      </c>
      <c r="C259" s="1" t="s">
        <v>81</v>
      </c>
      <c r="D259" s="4" t="s">
        <v>146</v>
      </c>
      <c r="E259" s="11" t="s">
        <v>146</v>
      </c>
      <c r="F259" s="5">
        <v>280</v>
      </c>
      <c r="G259" s="5" t="s">
        <v>13</v>
      </c>
      <c r="H259" s="5">
        <v>3240</v>
      </c>
      <c r="I259" s="5">
        <v>2673</v>
      </c>
      <c r="J259" s="5">
        <v>19</v>
      </c>
      <c r="K259" s="5">
        <v>0</v>
      </c>
      <c r="L259" s="2">
        <f t="shared" si="12"/>
        <v>2654</v>
      </c>
      <c r="M259" s="5">
        <f t="shared" si="11"/>
        <v>567</v>
      </c>
    </row>
    <row r="260" spans="1:14" x14ac:dyDescent="0.25">
      <c r="A260" s="5" t="s">
        <v>125</v>
      </c>
      <c r="B260" s="5" t="s">
        <v>80</v>
      </c>
      <c r="C260" s="1" t="s">
        <v>81</v>
      </c>
      <c r="D260" s="4" t="s">
        <v>173</v>
      </c>
      <c r="E260" s="11" t="s">
        <v>146</v>
      </c>
      <c r="F260" s="5">
        <v>280</v>
      </c>
      <c r="G260" s="5" t="s">
        <v>21</v>
      </c>
      <c r="H260" s="5">
        <v>3240</v>
      </c>
      <c r="I260" s="5">
        <v>3025</v>
      </c>
      <c r="J260" s="5">
        <v>11</v>
      </c>
      <c r="K260" s="5">
        <v>0</v>
      </c>
      <c r="L260" s="2">
        <f t="shared" si="12"/>
        <v>3014</v>
      </c>
      <c r="M260" s="5">
        <f t="shared" si="11"/>
        <v>215</v>
      </c>
    </row>
    <row r="261" spans="1:14" x14ac:dyDescent="0.25">
      <c r="A261" s="5" t="s">
        <v>125</v>
      </c>
      <c r="B261" s="5" t="s">
        <v>82</v>
      </c>
      <c r="C261" s="1" t="s">
        <v>83</v>
      </c>
      <c r="D261" s="11" t="s">
        <v>42</v>
      </c>
      <c r="E261" s="11" t="s">
        <v>35</v>
      </c>
      <c r="F261" s="5">
        <v>240</v>
      </c>
      <c r="G261" s="5" t="s">
        <v>13</v>
      </c>
      <c r="H261" s="5">
        <v>2520</v>
      </c>
      <c r="I261" s="5">
        <v>1760</v>
      </c>
      <c r="J261" s="5">
        <v>80</v>
      </c>
      <c r="K261" s="5">
        <v>0</v>
      </c>
      <c r="L261" s="2">
        <f t="shared" si="12"/>
        <v>1680</v>
      </c>
      <c r="M261" s="5">
        <f t="shared" si="11"/>
        <v>760</v>
      </c>
    </row>
    <row r="262" spans="1:14" x14ac:dyDescent="0.25">
      <c r="A262" s="5" t="s">
        <v>125</v>
      </c>
      <c r="B262" s="5" t="s">
        <v>82</v>
      </c>
      <c r="C262" s="1" t="s">
        <v>83</v>
      </c>
      <c r="D262" s="11" t="s">
        <v>42</v>
      </c>
      <c r="E262" s="11" t="s">
        <v>35</v>
      </c>
      <c r="F262" s="5">
        <v>240</v>
      </c>
      <c r="G262" s="5" t="s">
        <v>21</v>
      </c>
      <c r="H262" s="5">
        <v>2520</v>
      </c>
      <c r="I262" s="5">
        <v>2500</v>
      </c>
      <c r="J262" s="5">
        <v>100</v>
      </c>
      <c r="K262" s="5">
        <v>0</v>
      </c>
      <c r="L262" s="2">
        <f t="shared" si="12"/>
        <v>2400</v>
      </c>
      <c r="M262" s="5">
        <f t="shared" si="11"/>
        <v>20</v>
      </c>
    </row>
    <row r="263" spans="1:14" x14ac:dyDescent="0.25">
      <c r="A263" s="5" t="s">
        <v>125</v>
      </c>
      <c r="B263" s="5" t="s">
        <v>84</v>
      </c>
      <c r="C263" s="1" t="s">
        <v>85</v>
      </c>
      <c r="D263" s="11" t="s">
        <v>99</v>
      </c>
      <c r="E263" s="11" t="s">
        <v>99</v>
      </c>
      <c r="F263" s="5">
        <v>140</v>
      </c>
      <c r="G263" s="5" t="s">
        <v>13</v>
      </c>
      <c r="H263" s="5">
        <v>1440</v>
      </c>
      <c r="I263" s="5">
        <v>1516</v>
      </c>
      <c r="J263" s="5">
        <v>24</v>
      </c>
      <c r="K263" s="5">
        <v>0</v>
      </c>
      <c r="L263" s="2">
        <f t="shared" si="12"/>
        <v>1492</v>
      </c>
      <c r="M263" s="5">
        <f t="shared" si="11"/>
        <v>-76</v>
      </c>
    </row>
    <row r="264" spans="1:14" x14ac:dyDescent="0.25">
      <c r="A264" s="5" t="s">
        <v>125</v>
      </c>
      <c r="B264" s="5" t="s">
        <v>84</v>
      </c>
      <c r="C264" s="1" t="s">
        <v>85</v>
      </c>
      <c r="D264" s="11" t="s">
        <v>99</v>
      </c>
      <c r="E264" s="11" t="s">
        <v>99</v>
      </c>
      <c r="F264" s="5">
        <v>140</v>
      </c>
      <c r="G264" s="5" t="s">
        <v>21</v>
      </c>
      <c r="H264" s="5">
        <v>1440</v>
      </c>
      <c r="I264" s="5">
        <v>1382</v>
      </c>
      <c r="J264" s="5">
        <v>38</v>
      </c>
      <c r="K264" s="5">
        <v>0</v>
      </c>
      <c r="L264" s="2">
        <f t="shared" si="12"/>
        <v>1344</v>
      </c>
      <c r="M264" s="5">
        <f t="shared" si="11"/>
        <v>58</v>
      </c>
    </row>
    <row r="265" spans="1:14" x14ac:dyDescent="0.25">
      <c r="A265" s="5" t="s">
        <v>125</v>
      </c>
      <c r="B265" s="5" t="s">
        <v>87</v>
      </c>
      <c r="C265" t="s">
        <v>88</v>
      </c>
      <c r="D265" s="11" t="s">
        <v>147</v>
      </c>
      <c r="E265" s="11" t="s">
        <v>147</v>
      </c>
      <c r="F265" s="5">
        <v>310</v>
      </c>
      <c r="G265" s="5" t="s">
        <v>13</v>
      </c>
      <c r="H265" s="5">
        <v>4000</v>
      </c>
      <c r="I265" s="5">
        <v>2855</v>
      </c>
      <c r="J265" s="5">
        <v>25</v>
      </c>
      <c r="K265" s="5">
        <v>0</v>
      </c>
      <c r="L265" s="2">
        <f t="shared" si="12"/>
        <v>2830</v>
      </c>
      <c r="M265" s="5">
        <f t="shared" si="11"/>
        <v>1145</v>
      </c>
    </row>
    <row r="266" spans="1:14" x14ac:dyDescent="0.25">
      <c r="A266" s="5" t="s">
        <v>125</v>
      </c>
      <c r="B266" s="5" t="s">
        <v>87</v>
      </c>
      <c r="C266" t="s">
        <v>88</v>
      </c>
      <c r="D266" s="11" t="s">
        <v>147</v>
      </c>
      <c r="E266" s="11" t="s">
        <v>147</v>
      </c>
      <c r="F266" s="5">
        <v>310</v>
      </c>
      <c r="G266" s="5" t="s">
        <v>21</v>
      </c>
      <c r="H266" s="5">
        <v>4000</v>
      </c>
      <c r="I266" s="5">
        <v>2620</v>
      </c>
      <c r="J266" s="5">
        <v>40</v>
      </c>
      <c r="K266" s="5">
        <v>0</v>
      </c>
      <c r="L266" s="2">
        <f t="shared" si="12"/>
        <v>2580</v>
      </c>
      <c r="M266" s="5">
        <f t="shared" si="11"/>
        <v>1380</v>
      </c>
    </row>
    <row r="267" spans="1:14" x14ac:dyDescent="0.25">
      <c r="A267" s="5" t="s">
        <v>125</v>
      </c>
      <c r="B267" s="5" t="s">
        <v>89</v>
      </c>
      <c r="C267" t="s">
        <v>88</v>
      </c>
      <c r="D267" s="11" t="s">
        <v>147</v>
      </c>
      <c r="E267" s="11" t="s">
        <v>147</v>
      </c>
      <c r="F267" s="5">
        <v>310</v>
      </c>
      <c r="G267" s="5" t="s">
        <v>13</v>
      </c>
      <c r="H267" s="5">
        <v>4000</v>
      </c>
      <c r="I267" s="5">
        <v>3062</v>
      </c>
      <c r="J267" s="5">
        <v>20</v>
      </c>
      <c r="K267" s="5">
        <v>0</v>
      </c>
      <c r="L267" s="2">
        <f t="shared" si="12"/>
        <v>3042</v>
      </c>
      <c r="M267" s="5">
        <f t="shared" si="11"/>
        <v>938</v>
      </c>
    </row>
    <row r="268" spans="1:14" x14ac:dyDescent="0.25">
      <c r="A268" s="5" t="s">
        <v>125</v>
      </c>
      <c r="B268" s="5" t="s">
        <v>89</v>
      </c>
      <c r="C268" t="s">
        <v>88</v>
      </c>
      <c r="D268" s="11" t="s">
        <v>147</v>
      </c>
      <c r="E268" s="11" t="s">
        <v>147</v>
      </c>
      <c r="F268" s="5">
        <v>310</v>
      </c>
      <c r="G268" s="5" t="s">
        <v>21</v>
      </c>
      <c r="H268" s="5">
        <v>4000</v>
      </c>
      <c r="I268" s="5">
        <v>3280</v>
      </c>
      <c r="J268" s="5">
        <v>20</v>
      </c>
      <c r="K268" s="5">
        <v>0</v>
      </c>
      <c r="L268" s="2">
        <f t="shared" si="12"/>
        <v>3260</v>
      </c>
      <c r="M268" s="5">
        <f t="shared" si="11"/>
        <v>720</v>
      </c>
    </row>
    <row r="269" spans="1:14" x14ac:dyDescent="0.25">
      <c r="A269" s="5" t="s">
        <v>125</v>
      </c>
      <c r="B269" s="5" t="s">
        <v>90</v>
      </c>
      <c r="C269" s="1" t="s">
        <v>93</v>
      </c>
      <c r="D269" s="11" t="s">
        <v>19</v>
      </c>
      <c r="E269" s="11" t="s">
        <v>19</v>
      </c>
      <c r="F269" s="5">
        <v>200</v>
      </c>
      <c r="G269" s="5" t="s">
        <v>13</v>
      </c>
      <c r="H269" s="5">
        <v>2100</v>
      </c>
      <c r="I269" s="5">
        <v>1945</v>
      </c>
      <c r="J269" s="5">
        <v>40</v>
      </c>
      <c r="K269" s="5">
        <v>15</v>
      </c>
      <c r="L269" s="2">
        <f t="shared" si="12"/>
        <v>1890</v>
      </c>
      <c r="M269" s="5">
        <f t="shared" si="11"/>
        <v>155</v>
      </c>
      <c r="N269" s="5"/>
    </row>
    <row r="270" spans="1:14" x14ac:dyDescent="0.25">
      <c r="A270" s="5" t="s">
        <v>125</v>
      </c>
      <c r="B270" s="5" t="s">
        <v>90</v>
      </c>
      <c r="C270" s="1" t="s">
        <v>93</v>
      </c>
      <c r="D270" s="11" t="s">
        <v>19</v>
      </c>
      <c r="E270" s="11" t="s">
        <v>19</v>
      </c>
      <c r="F270" s="5">
        <v>200</v>
      </c>
      <c r="G270" s="5" t="s">
        <v>21</v>
      </c>
      <c r="H270" s="5">
        <v>2100</v>
      </c>
      <c r="I270" s="5">
        <v>890</v>
      </c>
      <c r="J270" s="5">
        <v>10</v>
      </c>
      <c r="K270" s="5">
        <v>0</v>
      </c>
      <c r="L270" s="2">
        <f t="shared" si="12"/>
        <v>880</v>
      </c>
      <c r="M270" s="5">
        <f t="shared" si="11"/>
        <v>1210</v>
      </c>
    </row>
    <row r="271" spans="1:14" x14ac:dyDescent="0.25">
      <c r="A271" s="5" t="s">
        <v>125</v>
      </c>
      <c r="B271" s="5" t="s">
        <v>90</v>
      </c>
      <c r="C271" s="1" t="s">
        <v>92</v>
      </c>
      <c r="D271" s="11" t="s">
        <v>19</v>
      </c>
      <c r="E271" s="11" t="s">
        <v>19</v>
      </c>
      <c r="F271" s="5">
        <v>200</v>
      </c>
      <c r="G271" s="5" t="s">
        <v>21</v>
      </c>
      <c r="H271" s="5">
        <v>882</v>
      </c>
      <c r="I271" s="5">
        <v>1052</v>
      </c>
      <c r="J271" s="5">
        <v>10</v>
      </c>
      <c r="K271" s="5">
        <v>0</v>
      </c>
      <c r="L271" s="2">
        <f t="shared" si="12"/>
        <v>1042</v>
      </c>
      <c r="M271" s="5">
        <f t="shared" si="11"/>
        <v>-170</v>
      </c>
    </row>
    <row r="272" spans="1:14" x14ac:dyDescent="0.25">
      <c r="A272" s="5" t="s">
        <v>125</v>
      </c>
      <c r="B272" s="5" t="s">
        <v>91</v>
      </c>
      <c r="C272" t="s">
        <v>148</v>
      </c>
      <c r="D272" s="11" t="s">
        <v>17</v>
      </c>
      <c r="E272" s="11" t="s">
        <v>29</v>
      </c>
      <c r="F272" s="5">
        <v>200</v>
      </c>
      <c r="G272" s="5" t="s">
        <v>13</v>
      </c>
      <c r="H272" s="5">
        <v>2200</v>
      </c>
      <c r="I272" s="5">
        <v>1620</v>
      </c>
      <c r="J272" s="5">
        <v>30</v>
      </c>
      <c r="K272" s="5">
        <v>0</v>
      </c>
      <c r="L272" s="2">
        <f t="shared" si="12"/>
        <v>1590</v>
      </c>
      <c r="M272" s="5">
        <f t="shared" si="11"/>
        <v>580</v>
      </c>
    </row>
    <row r="273" spans="1:13" x14ac:dyDescent="0.25">
      <c r="A273" s="5" t="s">
        <v>125</v>
      </c>
      <c r="B273" s="5" t="s">
        <v>91</v>
      </c>
      <c r="C273" t="s">
        <v>148</v>
      </c>
      <c r="D273" s="11" t="s">
        <v>96</v>
      </c>
      <c r="E273" s="11" t="s">
        <v>29</v>
      </c>
      <c r="F273" s="5">
        <v>200</v>
      </c>
      <c r="G273" s="5" t="s">
        <v>21</v>
      </c>
      <c r="H273" s="5">
        <v>0</v>
      </c>
      <c r="I273" s="5">
        <v>1840</v>
      </c>
      <c r="J273" s="5">
        <v>52</v>
      </c>
      <c r="K273" s="5">
        <v>28</v>
      </c>
      <c r="L273" s="2">
        <f t="shared" ref="L273:L279" si="13">I273 - (J273+K273)</f>
        <v>1760</v>
      </c>
      <c r="M273" s="5">
        <f t="shared" si="11"/>
        <v>-1840</v>
      </c>
    </row>
    <row r="274" spans="1:13" x14ac:dyDescent="0.25">
      <c r="A274" s="5" t="s">
        <v>125</v>
      </c>
      <c r="B274" s="5" t="s">
        <v>94</v>
      </c>
      <c r="C274" s="5" t="s">
        <v>100</v>
      </c>
      <c r="D274" s="11" t="s">
        <v>42</v>
      </c>
      <c r="E274" s="11" t="s">
        <v>149</v>
      </c>
      <c r="F274" s="5">
        <v>120</v>
      </c>
      <c r="G274" s="5" t="s">
        <v>13</v>
      </c>
      <c r="H274" s="5">
        <v>1008</v>
      </c>
      <c r="I274" s="5">
        <v>1010</v>
      </c>
      <c r="J274" s="5">
        <v>0</v>
      </c>
      <c r="K274" s="5">
        <v>0</v>
      </c>
      <c r="L274" s="2">
        <f t="shared" si="13"/>
        <v>1010</v>
      </c>
      <c r="M274" s="5">
        <f t="shared" si="11"/>
        <v>-2</v>
      </c>
    </row>
    <row r="275" spans="1:13" x14ac:dyDescent="0.25">
      <c r="A275" s="5" t="s">
        <v>125</v>
      </c>
      <c r="B275" s="5" t="s">
        <v>94</v>
      </c>
      <c r="C275" s="5" t="s">
        <v>100</v>
      </c>
      <c r="D275" s="11" t="s">
        <v>42</v>
      </c>
      <c r="E275" s="11" t="s">
        <v>149</v>
      </c>
      <c r="F275" s="5">
        <v>120</v>
      </c>
      <c r="G275" s="5" t="s">
        <v>21</v>
      </c>
      <c r="H275" s="5">
        <v>1008</v>
      </c>
      <c r="I275" s="5">
        <v>1078</v>
      </c>
      <c r="J275" s="5">
        <v>0</v>
      </c>
      <c r="K275" s="5">
        <v>0</v>
      </c>
      <c r="L275" s="2">
        <f t="shared" si="13"/>
        <v>1078</v>
      </c>
      <c r="M275" s="5">
        <f t="shared" si="11"/>
        <v>-70</v>
      </c>
    </row>
    <row r="276" spans="1:13" x14ac:dyDescent="0.25">
      <c r="A276" s="5" t="s">
        <v>125</v>
      </c>
      <c r="B276" s="5" t="s">
        <v>102</v>
      </c>
      <c r="C276" s="1" t="s">
        <v>30</v>
      </c>
      <c r="D276" s="12" t="s">
        <v>150</v>
      </c>
      <c r="E276" s="12" t="s">
        <v>150</v>
      </c>
      <c r="F276" s="5">
        <v>180</v>
      </c>
      <c r="G276" s="5" t="s">
        <v>13</v>
      </c>
      <c r="H276" s="5">
        <v>2080</v>
      </c>
      <c r="I276" s="5">
        <v>1890</v>
      </c>
      <c r="J276" s="5">
        <v>35</v>
      </c>
      <c r="K276" s="5">
        <v>0</v>
      </c>
      <c r="L276" s="2">
        <f t="shared" si="13"/>
        <v>1855</v>
      </c>
      <c r="M276" s="5">
        <f t="shared" si="11"/>
        <v>190</v>
      </c>
    </row>
    <row r="277" spans="1:13" x14ac:dyDescent="0.25">
      <c r="A277" s="5" t="s">
        <v>125</v>
      </c>
      <c r="B277" s="5" t="s">
        <v>102</v>
      </c>
      <c r="C277" s="1" t="s">
        <v>30</v>
      </c>
      <c r="D277" s="11" t="s">
        <v>150</v>
      </c>
      <c r="E277" s="11" t="s">
        <v>150</v>
      </c>
      <c r="F277" s="5">
        <v>180</v>
      </c>
      <c r="G277" s="5" t="s">
        <v>21</v>
      </c>
      <c r="H277" s="5">
        <v>2080</v>
      </c>
      <c r="I277" s="5">
        <v>1855</v>
      </c>
      <c r="J277" s="5">
        <v>20</v>
      </c>
      <c r="K277" s="5">
        <v>0</v>
      </c>
      <c r="L277" s="2">
        <f t="shared" si="13"/>
        <v>1835</v>
      </c>
      <c r="M277" s="5">
        <f t="shared" ref="M277:M279" si="14">H277-I277</f>
        <v>225</v>
      </c>
    </row>
    <row r="278" spans="1:13" x14ac:dyDescent="0.25">
      <c r="A278" s="5" t="s">
        <v>125</v>
      </c>
      <c r="B278" s="5" t="s">
        <v>106</v>
      </c>
      <c r="C278" s="1" t="s">
        <v>73</v>
      </c>
      <c r="D278" s="11" t="s">
        <v>153</v>
      </c>
      <c r="E278" s="11" t="s">
        <v>153</v>
      </c>
      <c r="F278" s="5">
        <v>115</v>
      </c>
      <c r="G278" s="5" t="s">
        <v>13</v>
      </c>
      <c r="H278" s="5">
        <v>1200</v>
      </c>
      <c r="I278" s="5">
        <v>1144</v>
      </c>
      <c r="J278" s="5">
        <v>21</v>
      </c>
      <c r="K278" s="5">
        <v>0</v>
      </c>
      <c r="L278" s="2">
        <f t="shared" si="13"/>
        <v>1123</v>
      </c>
      <c r="M278" s="5">
        <f t="shared" si="14"/>
        <v>56</v>
      </c>
    </row>
    <row r="279" spans="1:13" x14ac:dyDescent="0.25">
      <c r="A279" s="5" t="s">
        <v>125</v>
      </c>
      <c r="B279" s="5" t="s">
        <v>106</v>
      </c>
      <c r="C279" s="1" t="s">
        <v>73</v>
      </c>
      <c r="D279" s="11" t="s">
        <v>153</v>
      </c>
      <c r="E279" s="11" t="s">
        <v>153</v>
      </c>
      <c r="F279" s="5">
        <v>115</v>
      </c>
      <c r="G279" s="5" t="s">
        <v>21</v>
      </c>
      <c r="H279" s="5">
        <v>1200</v>
      </c>
      <c r="I279" s="5">
        <v>1200</v>
      </c>
      <c r="J279" s="5">
        <v>37</v>
      </c>
      <c r="K279" s="5">
        <v>0</v>
      </c>
      <c r="L279" s="2">
        <f t="shared" si="13"/>
        <v>1163</v>
      </c>
      <c r="M279" s="5">
        <f t="shared" si="14"/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Vats</dc:creator>
  <cp:lastModifiedBy>Intern (Int)/MRPL/HRM/MNSR</cp:lastModifiedBy>
  <dcterms:created xsi:type="dcterms:W3CDTF">2026-01-09T05:13:45Z</dcterms:created>
  <dcterms:modified xsi:type="dcterms:W3CDTF">2026-02-06T07:16:47Z</dcterms:modified>
</cp:coreProperties>
</file>